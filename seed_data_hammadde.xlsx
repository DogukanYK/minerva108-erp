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SAÜSTÜ\"/>
    </mc:Choice>
  </mc:AlternateContent>
  <xr:revisionPtr revIDLastSave="0" documentId="13_ncr:1_{C32E4A2F-51B9-4E3F-9EE2-F732DA61DFEC}" xr6:coauthVersionLast="47" xr6:coauthVersionMax="47" xr10:uidLastSave="{00000000-0000-0000-0000-000000000000}"/>
  <bookViews>
    <workbookView xWindow="-108" yWindow="-108" windowWidth="23256" windowHeight="12720" activeTab="3" xr2:uid="{00000000-000D-0000-FFFF-FFFF00000000}"/>
  </bookViews>
  <sheets>
    <sheet name="Sayfa1" sheetId="1" r:id="rId1"/>
    <sheet name="Sayfa2" sheetId="2" r:id="rId2"/>
    <sheet name="Sayfa3" sheetId="3" r:id="rId3"/>
    <sheet name="Sayfa4" sheetId="4" r:id="rId4"/>
    <sheet name="Sayfa5" sheetId="5" r:id="rId5"/>
    <sheet name="Sayfa6" sheetId="6" r:id="rId6"/>
    <sheet name="Sayfa8" sheetId="8" r:id="rId7"/>
    <sheet name="Sayfa9" sheetId="9" r:id="rId8"/>
    <sheet name="Sayfa11" sheetId="11" r:id="rId9"/>
  </sheets>
  <definedNames>
    <definedName name="_xlnm.Print_Area" localSheetId="4">Sayfa5!$A$1:$F$15</definedName>
    <definedName name="_xlnm.Print_Area" localSheetId="5">Sayfa6!$A$2:$F$17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8" i="11" l="1"/>
  <c r="C77" i="11"/>
  <c r="C67" i="11"/>
  <c r="C66" i="11"/>
  <c r="C56" i="11"/>
  <c r="C52" i="11"/>
  <c r="C48" i="11"/>
  <c r="C28" i="11"/>
  <c r="C13" i="11"/>
  <c r="C5" i="11"/>
  <c r="C6" i="11"/>
</calcChain>
</file>

<file path=xl/sharedStrings.xml><?xml version="1.0" encoding="utf-8"?>
<sst xmlns="http://schemas.openxmlformats.org/spreadsheetml/2006/main" count="579" uniqueCount="367">
  <si>
    <t>KONTROL TARİHİ</t>
  </si>
  <si>
    <t xml:space="preserve">HAMMADDE İSİM </t>
  </si>
  <si>
    <t>GR</t>
  </si>
  <si>
    <t>MARKASI</t>
  </si>
  <si>
    <t>KULLANILAN</t>
  </si>
  <si>
    <t>KALAN</t>
  </si>
  <si>
    <t>HAMMADDESEPETİ</t>
  </si>
  <si>
    <t>DOLAP   2     1. RAF</t>
  </si>
  <si>
    <t>PEMBE KAOLİN KİL</t>
  </si>
  <si>
    <t>BENTONİT KİL</t>
  </si>
  <si>
    <t xml:space="preserve">BEYAZ KAOLİN KİL </t>
  </si>
  <si>
    <t>SİYAH DOGAL KİL</t>
  </si>
  <si>
    <t xml:space="preserve">MAVİ YEŞİL DOGAL KİL </t>
  </si>
  <si>
    <t>INULİN</t>
  </si>
  <si>
    <t>KELTROL</t>
  </si>
  <si>
    <t>KSİLİTOL</t>
  </si>
  <si>
    <t>SODYUM Bİ KARBONAT</t>
  </si>
  <si>
    <t xml:space="preserve">SİLİKA HİDRAT </t>
  </si>
  <si>
    <t>XHANTAN GUM</t>
  </si>
  <si>
    <t>GMS</t>
  </si>
  <si>
    <t>KOJİK ASİT</t>
  </si>
  <si>
    <t>KARBOKSİ METİL SELÜLOZ TEKNİK(CMC)</t>
  </si>
  <si>
    <t xml:space="preserve">3-0 ETHYL ASCORBIC ACID </t>
  </si>
  <si>
    <t>ALPHA ARBUTİN</t>
  </si>
  <si>
    <t>DOLAP   2     2. RAF</t>
  </si>
  <si>
    <t>HAMMADDE İSİM</t>
  </si>
  <si>
    <t xml:space="preserve">FERULİC ACİD </t>
  </si>
  <si>
    <t>CARNAUBA WAX</t>
  </si>
  <si>
    <t>MİKROKRİSTALİN SELÜLOZ</t>
  </si>
  <si>
    <t>MAGNEZYUM STEARAT</t>
  </si>
  <si>
    <t>STERİK ASİT</t>
  </si>
  <si>
    <t>C VİTAMİNİ</t>
  </si>
  <si>
    <t>HYALUORİK ASİT (DÜŞÜK MOL)</t>
  </si>
  <si>
    <t xml:space="preserve">ALLANTOİN </t>
  </si>
  <si>
    <t>DOLAP   2     4. RAF</t>
  </si>
  <si>
    <t xml:space="preserve">NİACİNAMİDE </t>
  </si>
  <si>
    <t>ÇİNKO OKSİT</t>
  </si>
  <si>
    <t>HİNDİSTAN CEVİZİ YAGI</t>
  </si>
  <si>
    <t>SHEA BUTTER</t>
  </si>
  <si>
    <t xml:space="preserve">TUZ </t>
  </si>
  <si>
    <t>COCO GLUCOSİDE- GLYCERYL OLEATE</t>
  </si>
  <si>
    <t>ELİTO GLİSERİL STEARAT    GMS</t>
  </si>
  <si>
    <t>DOLAP   3    4. RAF</t>
  </si>
  <si>
    <t>DOLAP   3    1. RAF</t>
  </si>
  <si>
    <t>SETİL STEARİL ALKOL</t>
  </si>
  <si>
    <t>OLİVEM 1000</t>
  </si>
  <si>
    <t>EMULGADE SE-PF</t>
  </si>
  <si>
    <t>DOLAP   3    2. RAF</t>
  </si>
  <si>
    <t>KAKAO BUTTER</t>
  </si>
  <si>
    <t>CETYL ALCOHOL</t>
  </si>
  <si>
    <t>BTMS 50</t>
  </si>
  <si>
    <t>DOLAP   3    3. RAF</t>
  </si>
  <si>
    <t>COCO GLUCOSİD</t>
  </si>
  <si>
    <t>LAURYL GLUCOSİDE</t>
  </si>
  <si>
    <t>DEPENTHANOL</t>
  </si>
  <si>
    <t>CAPYLİC CAPLE TRİGLİSİDE</t>
  </si>
  <si>
    <t>TUZ</t>
  </si>
  <si>
    <t>GLİSERİN</t>
  </si>
  <si>
    <t xml:space="preserve">BEYAZ SİRKE </t>
  </si>
  <si>
    <t>KIRMIZI YONCA EXTRACT</t>
  </si>
  <si>
    <t>DOLAP   3    5. RAF</t>
  </si>
  <si>
    <t>ASPİR TOHUM YAGI</t>
  </si>
  <si>
    <t>GÜL HİDRASOLÜ</t>
  </si>
  <si>
    <t>ITIR HİDRASOLÜ</t>
  </si>
  <si>
    <t>PAPATYA HİDRASOLÜ</t>
  </si>
  <si>
    <t xml:space="preserve">DOLAP   1     </t>
  </si>
  <si>
    <t xml:space="preserve">COCO CAPRYLATE  CAPRATE </t>
  </si>
  <si>
    <t>LAVANTA HİDRASOLÜ</t>
  </si>
  <si>
    <t>COPRLİC /CAPRİK TRİGLİSERİDE</t>
  </si>
  <si>
    <t>SHAROMİX 705</t>
  </si>
  <si>
    <t>NEOWAX SE-PF</t>
  </si>
  <si>
    <t xml:space="preserve">ULUDAĞ HERBAL </t>
  </si>
  <si>
    <t>ROSECE</t>
  </si>
  <si>
    <t xml:space="preserve">anhui huaheng biotechnology co. ltd </t>
  </si>
  <si>
    <t xml:space="preserve">AKTİF KÖMÜR </t>
  </si>
  <si>
    <t>DOLAP   2     5. RAF</t>
  </si>
  <si>
    <t>ŞEKER</t>
  </si>
  <si>
    <t>DİA-TOCOPHERY ACETATE</t>
  </si>
  <si>
    <t>NEROLİ HİDROSOLÜ</t>
  </si>
  <si>
    <t>BADEM YAĞI</t>
  </si>
  <si>
    <t xml:space="preserve">SAF GÜL SUYU </t>
  </si>
  <si>
    <t>PENTİLEN GLİKOL</t>
  </si>
  <si>
    <t>COCO BETAİNE%30</t>
  </si>
  <si>
    <t>LAVANTA HİDROSOLÜ</t>
  </si>
  <si>
    <t>GİNSENG EKSTRATI</t>
  </si>
  <si>
    <t>ULUDAĞ HERBAL</t>
  </si>
  <si>
    <t>EFOZ(MARKET)</t>
  </si>
  <si>
    <t>TATLIDİLİMLER</t>
  </si>
  <si>
    <t xml:space="preserve">ANYSIA NATURAL COSMETİC </t>
  </si>
  <si>
    <t>SODYUM BENZOATE</t>
  </si>
  <si>
    <t>UMAYCHEM</t>
  </si>
  <si>
    <t>BUTİKHAMMADDE</t>
  </si>
  <si>
    <t>KRK GIDA(HAYAT)</t>
  </si>
  <si>
    <t>İPEDA</t>
  </si>
  <si>
    <t>NUSTİL</t>
  </si>
  <si>
    <t>KİMYACINIZ</t>
  </si>
  <si>
    <t>KANGCARE BİOİNDUSTRYCO.LTD</t>
  </si>
  <si>
    <t>ANYSIA NATURAL COSMETİC</t>
  </si>
  <si>
    <t xml:space="preserve">HANGZHOU REBTECH NOVEL </t>
  </si>
  <si>
    <t>KİMYASAL EVİ</t>
  </si>
  <si>
    <t xml:space="preserve"> ITIR SARDUNYA HİDROSOLÜ</t>
  </si>
  <si>
    <t>MART</t>
  </si>
  <si>
    <t>4.276GR</t>
  </si>
  <si>
    <t>3.958 GR</t>
  </si>
  <si>
    <t>90GR</t>
  </si>
  <si>
    <t>920GR</t>
  </si>
  <si>
    <t>930GR</t>
  </si>
  <si>
    <t>110GR</t>
  </si>
  <si>
    <t>1.138GR</t>
  </si>
  <si>
    <t>196GR</t>
  </si>
  <si>
    <t>250GR</t>
  </si>
  <si>
    <t>1.376GR</t>
  </si>
  <si>
    <t>130GR</t>
  </si>
  <si>
    <t>532GR</t>
  </si>
  <si>
    <t>630GR</t>
  </si>
  <si>
    <t>850GR</t>
  </si>
  <si>
    <t>840GR</t>
  </si>
  <si>
    <t>918GR</t>
  </si>
  <si>
    <t>1.180GR</t>
  </si>
  <si>
    <t>TİTO</t>
  </si>
  <si>
    <t>740GR</t>
  </si>
  <si>
    <t>1 KG</t>
  </si>
  <si>
    <t>380GR</t>
  </si>
  <si>
    <t>970GR</t>
  </si>
  <si>
    <t>4.762 GR</t>
  </si>
  <si>
    <t>30GR</t>
  </si>
  <si>
    <t>1.174GR</t>
  </si>
  <si>
    <t>3 KG</t>
  </si>
  <si>
    <t>4.970GR</t>
  </si>
  <si>
    <t>7.288GR</t>
  </si>
  <si>
    <t>4.080 GR</t>
  </si>
  <si>
    <t>320GR</t>
  </si>
  <si>
    <t>700GR</t>
  </si>
  <si>
    <t>HAMMADDELER.COM</t>
  </si>
  <si>
    <t>2.790GR</t>
  </si>
  <si>
    <t>270 GR</t>
  </si>
  <si>
    <t>500 GR</t>
  </si>
  <si>
    <t>750GR</t>
  </si>
  <si>
    <t>1.900GR</t>
  </si>
  <si>
    <t>7.564GR</t>
  </si>
  <si>
    <t>950GR</t>
  </si>
  <si>
    <t>1600 GR</t>
  </si>
  <si>
    <t xml:space="preserve">E VİTAMİNİ </t>
  </si>
  <si>
    <t>340GR</t>
  </si>
  <si>
    <t xml:space="preserve">UNDECANE AND TRİDECANE </t>
  </si>
  <si>
    <t xml:space="preserve">40GR </t>
  </si>
  <si>
    <t>10KG</t>
  </si>
  <si>
    <t>6.064GR</t>
  </si>
  <si>
    <t>640GR</t>
  </si>
  <si>
    <t>494GR</t>
  </si>
  <si>
    <t>1.414GR</t>
  </si>
  <si>
    <t>7.122GR</t>
  </si>
  <si>
    <t>3.944GR</t>
  </si>
  <si>
    <t>1KG</t>
  </si>
  <si>
    <t>4.750GR</t>
  </si>
  <si>
    <t>800GR</t>
  </si>
  <si>
    <t>COCO  CAPRATE</t>
  </si>
  <si>
    <t>12 KG</t>
  </si>
  <si>
    <t>2KG</t>
  </si>
  <si>
    <t>4KG</t>
  </si>
  <si>
    <t>TİMAY</t>
  </si>
  <si>
    <t>2.336GR</t>
  </si>
  <si>
    <t>7.200GR</t>
  </si>
  <si>
    <t>DOLAP   2     ÜST RAF</t>
  </si>
  <si>
    <t>362GR</t>
  </si>
  <si>
    <t xml:space="preserve">HİNT YAGI </t>
  </si>
  <si>
    <t xml:space="preserve">1.096 GR </t>
  </si>
  <si>
    <t>UMAYCHEM, BAŞAK ORGANİK</t>
  </si>
  <si>
    <t>HİNT YAĞI</t>
  </si>
  <si>
    <t>6KG</t>
  </si>
  <si>
    <t xml:space="preserve">UMAYCHEM </t>
  </si>
  <si>
    <t>SUSAM YAGI</t>
  </si>
  <si>
    <t>TATLİDİLİMLER</t>
  </si>
  <si>
    <t>PORTAKAL YAGI</t>
  </si>
  <si>
    <t>1.640GR</t>
  </si>
  <si>
    <t>KRK GIDA</t>
  </si>
  <si>
    <t>ITIR HİDRASOLU</t>
  </si>
  <si>
    <t>3KG</t>
  </si>
  <si>
    <t>ULUDAG HERBAL</t>
  </si>
  <si>
    <t>NANE HİDROLATI</t>
  </si>
  <si>
    <t>1.680GR</t>
  </si>
  <si>
    <t>PORTAKAL ÇİÇEGİ (NEROLİ) SUYU</t>
  </si>
  <si>
    <t>638GR</t>
  </si>
  <si>
    <t>CEVİZ YAGI</t>
  </si>
  <si>
    <t>844GR</t>
  </si>
  <si>
    <t>424GR</t>
  </si>
  <si>
    <t>530GR</t>
  </si>
  <si>
    <t>370GR</t>
  </si>
  <si>
    <t>KUŞBURNU YAGI</t>
  </si>
  <si>
    <t>928GR</t>
  </si>
  <si>
    <t>NAR ÇİÇEGİ YAGI</t>
  </si>
  <si>
    <t>536GR</t>
  </si>
  <si>
    <t>ARGAN YAGI</t>
  </si>
  <si>
    <t>LİMON YAGI</t>
  </si>
  <si>
    <t>866GR</t>
  </si>
  <si>
    <t>AYNI SEFA YAGI</t>
  </si>
  <si>
    <t>948GR</t>
  </si>
  <si>
    <t xml:space="preserve">BUĞDAY YAGI </t>
  </si>
  <si>
    <t>262GR</t>
  </si>
  <si>
    <t>BUĞDAY RUŞEYM YAGI</t>
  </si>
  <si>
    <t>1.382GR</t>
  </si>
  <si>
    <t>ALTIN TOROSLAR</t>
  </si>
  <si>
    <t>DOLAP   3     ÜST RAF</t>
  </si>
  <si>
    <t>ASPİR YAĞI</t>
  </si>
  <si>
    <t>1.948GR</t>
  </si>
  <si>
    <t>BADEM YAGI</t>
  </si>
  <si>
    <t>58GR</t>
  </si>
  <si>
    <t>TATLI BADEM YAGI</t>
  </si>
  <si>
    <t>224GR</t>
  </si>
  <si>
    <t>978 GR</t>
  </si>
  <si>
    <t>AVAKADO YAGI</t>
  </si>
  <si>
    <t>2.924GR</t>
  </si>
  <si>
    <t>KAYISI ÇEKİRDEGİ YAGI</t>
  </si>
  <si>
    <t>5.488GR</t>
  </si>
  <si>
    <t>JOJOBA YAGI</t>
  </si>
  <si>
    <t>5.874 GR</t>
  </si>
  <si>
    <t xml:space="preserve">FINDIK YAGI </t>
  </si>
  <si>
    <t>4 KG</t>
  </si>
  <si>
    <t>SABUNARI</t>
  </si>
  <si>
    <t>ANYSIA NATURAL COSMETİCS</t>
  </si>
  <si>
    <t>HAMMADDE SEPETİ</t>
  </si>
  <si>
    <t>SQUALANE</t>
  </si>
  <si>
    <t xml:space="preserve">MARKASI </t>
  </si>
  <si>
    <t xml:space="preserve">AKGÜNLÜK UÇUCU YAĞI </t>
  </si>
  <si>
    <t>DOALİNN</t>
  </si>
  <si>
    <t>ITIR YAĞI</t>
  </si>
  <si>
    <t xml:space="preserve">ÇAY AĞACI YAĞI </t>
  </si>
  <si>
    <t>ÇİN DEFNESİ</t>
  </si>
  <si>
    <t xml:space="preserve">BERGAMUT YAĞI </t>
  </si>
  <si>
    <t>MİSKET LİMON YAĞI</t>
  </si>
  <si>
    <t>LİMON OTU YAĞI</t>
  </si>
  <si>
    <t>ÇİN TARÇIN YAĞI</t>
  </si>
  <si>
    <t xml:space="preserve">PAPATYA UÇUCU YAĞI(mavi) </t>
  </si>
  <si>
    <t>KARANFİL TOMURCUĞU</t>
  </si>
  <si>
    <t xml:space="preserve">JAPON NANESİ </t>
  </si>
  <si>
    <t>NANE YAĞI</t>
  </si>
  <si>
    <t>MSA</t>
  </si>
  <si>
    <t>GREYFURT YAĞI</t>
  </si>
  <si>
    <t>FESLEĞENUÇUCU YAĞ</t>
  </si>
  <si>
    <t>DAVANA UÇUCU YAĞ</t>
  </si>
  <si>
    <t>NAGARMOTHA UÇUCU YAĞI</t>
  </si>
  <si>
    <t>LİMON ÇİMENİ UÇUCU YAĞ (CİTRONELLA )</t>
  </si>
  <si>
    <t>PAÇULİ UÇUCU YAĞI</t>
  </si>
  <si>
    <t>OKALİPTUS UÇUCU YAĞI</t>
  </si>
  <si>
    <t xml:space="preserve">SEDİR YAĞI </t>
  </si>
  <si>
    <t>SAKIZ AĞACI YAĞI</t>
  </si>
  <si>
    <t>PINE (CAM TEREBENTİN OIL)</t>
  </si>
  <si>
    <t>ÇAM YAPRAĞI YAĞI</t>
  </si>
  <si>
    <t xml:space="preserve">MANDARINE RED OIL </t>
  </si>
  <si>
    <t xml:space="preserve">JASMINE ABSOLUTE </t>
  </si>
  <si>
    <t>KARABİBER YAĞI</t>
  </si>
  <si>
    <t>SANDALWOOD OIL</t>
  </si>
  <si>
    <t xml:space="preserve">BİBERİYE YAĞI </t>
  </si>
  <si>
    <t>PAPATYA UÇUCU YAĞI(SARI )</t>
  </si>
  <si>
    <t xml:space="preserve">MELEZ LAVANTA UCUCU YAĞ </t>
  </si>
  <si>
    <t xml:space="preserve">PALMAROSA UCUCU YAĞ </t>
  </si>
  <si>
    <t>KIVIRCIK NANE UCUCU YAĞ</t>
  </si>
  <si>
    <t xml:space="preserve">PETİT GRAİNE TURUNÇ UCUCU YAĞ </t>
  </si>
  <si>
    <t xml:space="preserve">PORTAKAL UCUCU YAĞ </t>
  </si>
  <si>
    <t xml:space="preserve">LİMON UCUCU YAĞ </t>
  </si>
  <si>
    <t xml:space="preserve">VANİLYA UCUCU YAĞ </t>
  </si>
  <si>
    <t xml:space="preserve">MİSK ADAÇAYI UCUCU YAĞ </t>
  </si>
  <si>
    <t>162ML</t>
  </si>
  <si>
    <t>60ML</t>
  </si>
  <si>
    <t>86ML</t>
  </si>
  <si>
    <t>90ML</t>
  </si>
  <si>
    <t>TIBBI LAVANTA UÇUCU YAĞI</t>
  </si>
  <si>
    <t>95ML</t>
  </si>
  <si>
    <t>50ML</t>
  </si>
  <si>
    <t>8ML</t>
  </si>
  <si>
    <t>9ML</t>
  </si>
  <si>
    <t>3 ML</t>
  </si>
  <si>
    <t>4ML</t>
  </si>
  <si>
    <t>74ML+2ML</t>
  </si>
  <si>
    <t>44ML</t>
  </si>
  <si>
    <t>45ML</t>
  </si>
  <si>
    <t>15ML</t>
  </si>
  <si>
    <t>60ML+15ML</t>
  </si>
  <si>
    <t>DOALİNN  İPEADA</t>
  </si>
  <si>
    <t>480ML</t>
  </si>
  <si>
    <t>486ML</t>
  </si>
  <si>
    <t>1640ML</t>
  </si>
  <si>
    <t>10ML</t>
  </si>
  <si>
    <t>GÜL AGACI YAGI</t>
  </si>
  <si>
    <t>5 ML</t>
  </si>
  <si>
    <t>FRANKİNCENSE OİL</t>
  </si>
  <si>
    <t>18ML</t>
  </si>
  <si>
    <t>DEFNE YAPRAGI YAGI</t>
  </si>
  <si>
    <t>4,8ML</t>
  </si>
  <si>
    <t>TURUNÇYAPRAGI YAGI</t>
  </si>
  <si>
    <t>4 ML</t>
  </si>
  <si>
    <t>AYNISEFA MASERASYONU</t>
  </si>
  <si>
    <t>1.170GR</t>
  </si>
  <si>
    <t>MİNERVA</t>
  </si>
  <si>
    <t>KIRMIZI YONCA YAGI</t>
  </si>
  <si>
    <t>GEVEN EKSTRAKTI</t>
  </si>
  <si>
    <t>1.716GR</t>
  </si>
  <si>
    <t>KIRMIZI YONCA EKSTRAKTI</t>
  </si>
  <si>
    <t>SODYUM BORATE</t>
  </si>
  <si>
    <t>796GR</t>
  </si>
  <si>
    <t xml:space="preserve">AT KESTANESİ YAGI </t>
  </si>
  <si>
    <t>KAHVE ÇEKİRDEGİ ÖZÜ</t>
  </si>
  <si>
    <t>95.81ML</t>
  </si>
  <si>
    <t>HİDROLİZE İPEK PROTEİN</t>
  </si>
  <si>
    <t>ISIRGANOTU ÖZÜ</t>
  </si>
  <si>
    <t>100ML</t>
  </si>
  <si>
    <t>MEYAN KÖKÜ</t>
  </si>
  <si>
    <t>113ML</t>
  </si>
  <si>
    <t>KAHVE EKSTRAKTI</t>
  </si>
  <si>
    <t>AT KESTANESİ EKSTRAKTI</t>
  </si>
  <si>
    <t>GİNSENG EKSTRAKTI</t>
  </si>
  <si>
    <t>65ML</t>
  </si>
  <si>
    <t>KARANFİL YAGI</t>
  </si>
  <si>
    <t>9 ML</t>
  </si>
  <si>
    <t>CANDELUNA YAGI</t>
  </si>
  <si>
    <t>140ML</t>
  </si>
  <si>
    <t xml:space="preserve">AT KUYRUGU YAGI </t>
  </si>
  <si>
    <t>ADAÇAYI YAGI</t>
  </si>
  <si>
    <t>20ML</t>
  </si>
  <si>
    <t xml:space="preserve">BİBERİYE EKSTRAKTI </t>
  </si>
  <si>
    <t xml:space="preserve">PAPATYA EKSTRAKTI </t>
  </si>
  <si>
    <t>ALEOVERA EKSTRAKTI</t>
  </si>
  <si>
    <t>AYNISEFA YAGI</t>
  </si>
  <si>
    <t xml:space="preserve">KERATİN </t>
  </si>
  <si>
    <t xml:space="preserve">BİTKİSEL KERATİN </t>
  </si>
  <si>
    <t>89ML</t>
  </si>
  <si>
    <t>AT KUYRUGU EKSTRAKTI</t>
  </si>
  <si>
    <t>30ML</t>
  </si>
  <si>
    <t xml:space="preserve">YOSUN EKSTRAKTI </t>
  </si>
  <si>
    <t>LESİTİN(SOYA)</t>
  </si>
  <si>
    <t>SOYA LESİTİNİ</t>
  </si>
  <si>
    <t>ATSCCHEMİCALS</t>
  </si>
  <si>
    <t>GÜL HİDROSOLÜ</t>
  </si>
  <si>
    <t>96ML</t>
  </si>
  <si>
    <t>GÜLCE HANIM</t>
  </si>
  <si>
    <t>OLİVE SQUALANE</t>
  </si>
  <si>
    <t>PENTYLENE GLYCOL</t>
  </si>
  <si>
    <t>NETTELE</t>
  </si>
  <si>
    <t xml:space="preserve">LAKTİK ASİT </t>
  </si>
  <si>
    <t>SODYUM LAKTAT</t>
  </si>
  <si>
    <t>DOLAP 4</t>
  </si>
  <si>
    <t>25GR</t>
  </si>
  <si>
    <t>21.900 GR</t>
  </si>
  <si>
    <t xml:space="preserve">MISIR NİŞASTASI </t>
  </si>
  <si>
    <t>14.144 GR</t>
  </si>
  <si>
    <t>COCO GLUKOSİDE</t>
  </si>
  <si>
    <t>4.082GR</t>
  </si>
  <si>
    <t>5.400 GR</t>
  </si>
  <si>
    <t>NUMUNE GÖNDERİM</t>
  </si>
  <si>
    <t>2.880GR</t>
  </si>
  <si>
    <t>umaychem</t>
  </si>
  <si>
    <t xml:space="preserve">                              SORBİTOL</t>
  </si>
  <si>
    <t>16.800gr</t>
  </si>
  <si>
    <t>21KG</t>
  </si>
  <si>
    <t>16.600GR</t>
  </si>
  <si>
    <t>22.400gr</t>
  </si>
  <si>
    <t>20kg</t>
  </si>
  <si>
    <t>18.800gr</t>
  </si>
  <si>
    <t xml:space="preserve">ETİL ALKOL </t>
  </si>
  <si>
    <t>4.728GR</t>
  </si>
  <si>
    <t xml:space="preserve">KIRMIZI YONCA ÇİÇEGİ </t>
  </si>
  <si>
    <t>AYNI SEFA ÇİÇEGİ</t>
  </si>
  <si>
    <t>870GR</t>
  </si>
  <si>
    <t>24.500GR</t>
  </si>
  <si>
    <t xml:space="preserve">BEŞAN </t>
  </si>
  <si>
    <t xml:space="preserve">DEPENTHANOL </t>
  </si>
  <si>
    <t>DEPANTHANOL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</si>
</sst>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4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28"/>
      <color theme="1"/>
      <name val="Calibri"/>
      <family val="2"/>
      <charset val="162"/>
      <scheme val="minor"/>
    </font>
    <font>
      <sz val="20"/>
      <color theme="1"/>
      <name val="Calibri"/>
      <family val="2"/>
      <charset val="162"/>
      <scheme val="minor"/>
    </font>
    <font>
      <b/>
      <sz val="20"/>
      <color theme="1"/>
      <name val="Calibri"/>
      <family val="2"/>
      <charset val="162"/>
      <scheme val="minor"/>
    </font>
    <font>
      <b/>
      <sz val="24"/>
      <color theme="1"/>
      <name val="Calibri"/>
      <family val="2"/>
      <charset val="162"/>
      <scheme val="minor"/>
    </font>
    <font>
      <b/>
      <sz val="26"/>
      <color theme="1"/>
      <name val="Calibri"/>
      <family val="2"/>
      <charset val="162"/>
      <scheme val="minor"/>
    </font>
    <font>
      <sz val="24"/>
      <color theme="1"/>
      <name val="Calibri"/>
      <family val="2"/>
      <charset val="162"/>
      <scheme val="minor"/>
    </font>
    <font>
      <sz val="26"/>
      <color theme="1"/>
      <name val="Calibri"/>
      <family val="2"/>
      <charset val="162"/>
      <scheme val="minor"/>
    </font>
    <font>
      <sz val="22"/>
      <color theme="1"/>
      <name val="Calibri"/>
      <family val="2"/>
      <charset val="162"/>
      <scheme val="minor"/>
    </font>
    <font>
      <sz val="18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14" fontId="0" fillId="0" borderId="2" xfId="0" applyNumberFormat="1" applyBorder="1" applyAlignment="1">
      <alignment horizontal="center" vertical="center"/>
    </xf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1" fillId="0" borderId="1" xfId="0" applyFon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0" xfId="0"/>
    <xf numFmtId="0" fontId="0" fillId="0" borderId="1" xfId="0" applyBorder="1"/>
    <xf numFmtId="0" fontId="3" fillId="0" borderId="1" xfId="0" applyFont="1" applyBorder="1"/>
    <xf numFmtId="14" fontId="3" fillId="0" borderId="1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" fontId="3" fillId="0" borderId="0" xfId="0" applyNumberFormat="1" applyFont="1"/>
    <xf numFmtId="0" fontId="7" fillId="0" borderId="1" xfId="0" applyFont="1" applyBorder="1"/>
    <xf numFmtId="14" fontId="7" fillId="0" borderId="1" xfId="0" applyNumberFormat="1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/>
    </xf>
    <xf numFmtId="0" fontId="3" fillId="0" borderId="0" xfId="0" applyFont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/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9" fillId="0" borderId="0" xfId="0" applyFont="1"/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3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/>
    <xf numFmtId="0" fontId="7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/>
    <xf numFmtId="0" fontId="7" fillId="0" borderId="1" xfId="0" applyFont="1" applyBorder="1" applyAlignment="1"/>
    <xf numFmtId="14" fontId="7" fillId="0" borderId="8" xfId="0" applyNumberFormat="1" applyFont="1" applyFill="1" applyBorder="1" applyAlignment="1">
      <alignment horizontal="center" vertical="center"/>
    </xf>
    <xf numFmtId="0" fontId="1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view="pageBreakPreview" topLeftCell="A10" zoomScale="60" zoomScaleNormal="100" workbookViewId="0">
      <selection activeCell="D6" sqref="D6"/>
    </sheetView>
  </sheetViews>
  <sheetFormatPr defaultRowHeight="18" x14ac:dyDescent="0.35"/>
  <cols>
    <col min="1" max="1" width="25.1640625" style="3" customWidth="1"/>
    <col min="2" max="2" width="46.83203125" style="3" customWidth="1"/>
    <col min="3" max="3" width="40.58203125" style="3" customWidth="1"/>
    <col min="4" max="4" width="44.5" style="3" customWidth="1"/>
    <col min="5" max="5" width="26.83203125" customWidth="1"/>
    <col min="6" max="6" width="37.5" customWidth="1"/>
  </cols>
  <sheetData>
    <row r="1" spans="1:7" ht="33.6" x14ac:dyDescent="0.65">
      <c r="A1" s="18" t="s">
        <v>101</v>
      </c>
      <c r="B1" s="28" t="s">
        <v>7</v>
      </c>
      <c r="C1" s="29"/>
      <c r="D1" s="29"/>
      <c r="E1" s="29"/>
      <c r="F1" s="29"/>
    </row>
    <row r="2" spans="1:7" ht="25.8" x14ac:dyDescent="0.5">
      <c r="A2" s="15" t="s">
        <v>0</v>
      </c>
      <c r="B2" s="16" t="s">
        <v>25</v>
      </c>
      <c r="C2" s="16" t="s">
        <v>2</v>
      </c>
      <c r="D2" s="16" t="s">
        <v>3</v>
      </c>
      <c r="E2" s="17" t="s">
        <v>4</v>
      </c>
      <c r="F2" s="17" t="s">
        <v>5</v>
      </c>
      <c r="G2" s="2"/>
    </row>
    <row r="3" spans="1:7" ht="57.75" customHeight="1" x14ac:dyDescent="0.5">
      <c r="A3" s="11"/>
      <c r="B3" s="12" t="s">
        <v>8</v>
      </c>
      <c r="C3" s="13" t="s">
        <v>102</v>
      </c>
      <c r="D3" s="13" t="s">
        <v>219</v>
      </c>
      <c r="E3" s="11"/>
      <c r="F3" s="11"/>
      <c r="G3" s="2"/>
    </row>
    <row r="4" spans="1:7" ht="59.25" customHeight="1" x14ac:dyDescent="0.5">
      <c r="A4" s="11"/>
      <c r="B4" s="12" t="s">
        <v>9</v>
      </c>
      <c r="C4" s="13" t="s">
        <v>103</v>
      </c>
      <c r="D4" s="13" t="s">
        <v>219</v>
      </c>
      <c r="E4" s="11"/>
      <c r="F4" s="11"/>
      <c r="G4" s="2"/>
    </row>
    <row r="5" spans="1:7" ht="60" customHeight="1" x14ac:dyDescent="0.5">
      <c r="A5" s="11"/>
      <c r="B5" s="12" t="s">
        <v>10</v>
      </c>
      <c r="C5" s="13" t="s">
        <v>104</v>
      </c>
      <c r="D5" s="13" t="s">
        <v>219</v>
      </c>
      <c r="E5" s="11"/>
      <c r="F5" s="11"/>
      <c r="G5" s="2"/>
    </row>
    <row r="6" spans="1:7" ht="49.5" customHeight="1" x14ac:dyDescent="0.5">
      <c r="A6" s="11"/>
      <c r="B6" s="12" t="s">
        <v>11</v>
      </c>
      <c r="C6" s="13" t="s">
        <v>105</v>
      </c>
      <c r="D6" s="13" t="s">
        <v>72</v>
      </c>
      <c r="E6" s="11"/>
      <c r="F6" s="11"/>
      <c r="G6" s="2"/>
    </row>
    <row r="7" spans="1:7" ht="51" customHeight="1" x14ac:dyDescent="0.5">
      <c r="A7" s="11"/>
      <c r="B7" s="12" t="s">
        <v>12</v>
      </c>
      <c r="C7" s="13" t="s">
        <v>106</v>
      </c>
      <c r="D7" s="13" t="s">
        <v>72</v>
      </c>
      <c r="E7" s="11"/>
      <c r="F7" s="11"/>
      <c r="G7" s="2"/>
    </row>
    <row r="8" spans="1:7" s="9" customFormat="1" ht="45" customHeight="1" x14ac:dyDescent="0.5">
      <c r="A8" s="11"/>
      <c r="B8" s="12" t="s">
        <v>74</v>
      </c>
      <c r="C8" s="13" t="s">
        <v>107</v>
      </c>
      <c r="D8" s="13" t="s">
        <v>87</v>
      </c>
      <c r="E8" s="11"/>
      <c r="F8" s="11"/>
    </row>
    <row r="9" spans="1:7" ht="43.5" customHeight="1" x14ac:dyDescent="0.5">
      <c r="A9" s="11"/>
      <c r="B9" s="12" t="s">
        <v>13</v>
      </c>
      <c r="C9" s="13" t="s">
        <v>108</v>
      </c>
      <c r="D9" s="13"/>
      <c r="E9" s="11"/>
      <c r="F9" s="11"/>
      <c r="G9" s="2"/>
    </row>
    <row r="10" spans="1:7" ht="47.25" customHeight="1" x14ac:dyDescent="0.5">
      <c r="A10" s="11"/>
      <c r="B10" s="12" t="s">
        <v>14</v>
      </c>
      <c r="C10" s="13" t="s">
        <v>109</v>
      </c>
      <c r="D10" s="13"/>
      <c r="E10" s="11"/>
      <c r="F10" s="11"/>
      <c r="G10" s="2"/>
    </row>
    <row r="11" spans="1:7" ht="52.5" customHeight="1" x14ac:dyDescent="0.5">
      <c r="A11" s="11"/>
      <c r="B11" s="12" t="s">
        <v>15</v>
      </c>
      <c r="C11" s="13" t="s">
        <v>110</v>
      </c>
      <c r="D11" s="13" t="s">
        <v>94</v>
      </c>
      <c r="E11" s="11"/>
      <c r="F11" s="11"/>
      <c r="G11" s="2"/>
    </row>
    <row r="12" spans="1:7" ht="49.5" customHeight="1" x14ac:dyDescent="0.5">
      <c r="A12" s="11"/>
      <c r="B12" s="12" t="s">
        <v>16</v>
      </c>
      <c r="C12" s="14" t="s">
        <v>111</v>
      </c>
      <c r="D12" s="13" t="s">
        <v>6</v>
      </c>
      <c r="E12" s="11"/>
      <c r="F12" s="11"/>
      <c r="G12" s="2"/>
    </row>
    <row r="13" spans="1:7" ht="54.75" customHeight="1" x14ac:dyDescent="0.5">
      <c r="A13" s="11"/>
      <c r="B13" s="12" t="s">
        <v>17</v>
      </c>
      <c r="C13" s="13" t="s">
        <v>112</v>
      </c>
      <c r="D13" s="13" t="s">
        <v>99</v>
      </c>
      <c r="E13" s="11"/>
      <c r="F13" s="11"/>
      <c r="G13" s="2"/>
    </row>
    <row r="14" spans="1:7" ht="63" customHeight="1" x14ac:dyDescent="0.5">
      <c r="A14" s="11"/>
      <c r="B14" s="12" t="s">
        <v>18</v>
      </c>
      <c r="C14" s="13" t="s">
        <v>113</v>
      </c>
      <c r="D14" s="13" t="s">
        <v>6</v>
      </c>
      <c r="E14" s="11"/>
      <c r="F14" s="11"/>
      <c r="G14" s="2"/>
    </row>
    <row r="15" spans="1:7" ht="49.5" customHeight="1" x14ac:dyDescent="0.5">
      <c r="A15" s="11"/>
      <c r="B15" s="12" t="s">
        <v>19</v>
      </c>
      <c r="C15" s="13" t="s">
        <v>114</v>
      </c>
      <c r="D15" s="13" t="s">
        <v>119</v>
      </c>
      <c r="E15" s="11"/>
      <c r="F15" s="11"/>
      <c r="G15" s="2"/>
    </row>
    <row r="16" spans="1:7" ht="62.25" customHeight="1" x14ac:dyDescent="0.5">
      <c r="A16" s="11"/>
      <c r="B16" s="12" t="s">
        <v>20</v>
      </c>
      <c r="C16" s="13" t="s">
        <v>115</v>
      </c>
      <c r="D16" s="13" t="s">
        <v>98</v>
      </c>
      <c r="E16" s="11"/>
      <c r="F16" s="11"/>
      <c r="G16" s="2"/>
    </row>
    <row r="17" spans="1:7" ht="53.25" customHeight="1" x14ac:dyDescent="0.5">
      <c r="A17" s="11"/>
      <c r="B17" s="12" t="s">
        <v>21</v>
      </c>
      <c r="C17" s="13" t="s">
        <v>116</v>
      </c>
      <c r="D17" s="13" t="s">
        <v>95</v>
      </c>
      <c r="E17" s="11"/>
      <c r="F17" s="11"/>
      <c r="G17" s="2"/>
    </row>
    <row r="18" spans="1:7" ht="60.75" customHeight="1" x14ac:dyDescent="0.5">
      <c r="A18" s="11"/>
      <c r="B18" s="12" t="s">
        <v>22</v>
      </c>
      <c r="C18" s="13" t="s">
        <v>117</v>
      </c>
      <c r="D18" s="13" t="s">
        <v>90</v>
      </c>
      <c r="E18" s="11"/>
      <c r="F18" s="11"/>
      <c r="G18" s="2"/>
    </row>
    <row r="19" spans="1:7" s="9" customFormat="1" ht="60.75" customHeight="1" x14ac:dyDescent="0.5">
      <c r="A19" s="11"/>
      <c r="B19" s="12" t="s">
        <v>49</v>
      </c>
      <c r="C19" s="13" t="s">
        <v>120</v>
      </c>
      <c r="D19" s="13" t="s">
        <v>6</v>
      </c>
      <c r="E19" s="11"/>
      <c r="F19" s="11"/>
    </row>
    <row r="20" spans="1:7" ht="54.75" customHeight="1" x14ac:dyDescent="0.5">
      <c r="A20" s="11"/>
      <c r="B20" s="12" t="s">
        <v>23</v>
      </c>
      <c r="C20" s="13" t="s">
        <v>118</v>
      </c>
      <c r="D20" s="13" t="s">
        <v>73</v>
      </c>
      <c r="E20" s="11"/>
      <c r="F20" s="11"/>
      <c r="G20" s="2"/>
    </row>
  </sheetData>
  <mergeCells count="1">
    <mergeCell ref="B1:F1"/>
  </mergeCells>
  <pageMargins left="0.7" right="0.7" top="0.75" bottom="0.75" header="0.3" footer="0.3"/>
  <pageSetup paperSize="9" scale="4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view="pageBreakPreview" topLeftCell="B4" zoomScale="60" zoomScaleNormal="100" workbookViewId="0">
      <selection activeCell="D9" sqref="D9"/>
    </sheetView>
  </sheetViews>
  <sheetFormatPr defaultRowHeight="18" x14ac:dyDescent="0.35"/>
  <cols>
    <col min="1" max="1" width="37.5" customWidth="1"/>
    <col min="2" max="2" width="45.25" customWidth="1"/>
    <col min="3" max="3" width="59.6640625" customWidth="1"/>
    <col min="4" max="4" width="48.58203125" customWidth="1"/>
    <col min="5" max="5" width="44.58203125" customWidth="1"/>
    <col min="6" max="6" width="42.4140625" customWidth="1"/>
  </cols>
  <sheetData>
    <row r="1" spans="1:6" ht="36.6" x14ac:dyDescent="0.7">
      <c r="A1" s="30" t="s">
        <v>24</v>
      </c>
      <c r="B1" s="30"/>
      <c r="C1" s="30"/>
      <c r="D1" s="30"/>
      <c r="E1" s="30"/>
      <c r="F1" s="30"/>
    </row>
    <row r="2" spans="1:6" ht="25.8" x14ac:dyDescent="0.35">
      <c r="A2" s="16" t="s">
        <v>0</v>
      </c>
      <c r="B2" s="16" t="s">
        <v>1</v>
      </c>
      <c r="C2" s="16" t="s">
        <v>2</v>
      </c>
      <c r="D2" s="16" t="s">
        <v>3</v>
      </c>
      <c r="E2" s="17" t="s">
        <v>4</v>
      </c>
      <c r="F2" s="17" t="s">
        <v>5</v>
      </c>
    </row>
    <row r="3" spans="1:6" ht="86.25" customHeight="1" x14ac:dyDescent="0.6">
      <c r="A3" s="20"/>
      <c r="B3" s="20" t="s">
        <v>26</v>
      </c>
      <c r="C3" s="21" t="s">
        <v>121</v>
      </c>
      <c r="D3" s="21" t="s">
        <v>90</v>
      </c>
      <c r="E3" s="19"/>
      <c r="F3" s="19"/>
    </row>
    <row r="4" spans="1:6" ht="76.5" customHeight="1" x14ac:dyDescent="0.6">
      <c r="A4" s="20"/>
      <c r="B4" s="20" t="s">
        <v>27</v>
      </c>
      <c r="C4" s="21" t="s">
        <v>121</v>
      </c>
      <c r="D4" s="21" t="s">
        <v>87</v>
      </c>
      <c r="E4" s="19"/>
      <c r="F4" s="19"/>
    </row>
    <row r="5" spans="1:6" ht="102.75" customHeight="1" x14ac:dyDescent="0.6">
      <c r="A5" s="20"/>
      <c r="B5" s="20" t="s">
        <v>28</v>
      </c>
      <c r="C5" s="21" t="s">
        <v>122</v>
      </c>
      <c r="D5" s="21" t="s">
        <v>119</v>
      </c>
      <c r="E5" s="19"/>
      <c r="F5" s="19"/>
    </row>
    <row r="6" spans="1:6" ht="86.25" customHeight="1" x14ac:dyDescent="0.6">
      <c r="A6" s="20"/>
      <c r="B6" s="20" t="s">
        <v>29</v>
      </c>
      <c r="C6" s="21" t="s">
        <v>123</v>
      </c>
      <c r="D6" s="21" t="s">
        <v>119</v>
      </c>
      <c r="E6" s="19"/>
      <c r="F6" s="19"/>
    </row>
    <row r="7" spans="1:6" ht="77.25" customHeight="1" x14ac:dyDescent="0.6">
      <c r="A7" s="20"/>
      <c r="B7" s="20" t="s">
        <v>30</v>
      </c>
      <c r="C7" s="21" t="s">
        <v>124</v>
      </c>
      <c r="D7" s="21"/>
      <c r="E7" s="19"/>
      <c r="F7" s="19"/>
    </row>
    <row r="8" spans="1:6" ht="67.5" customHeight="1" x14ac:dyDescent="0.6">
      <c r="A8" s="20"/>
      <c r="B8" s="20" t="s">
        <v>31</v>
      </c>
      <c r="C8" s="21" t="s">
        <v>125</v>
      </c>
      <c r="D8" s="21" t="s">
        <v>90</v>
      </c>
      <c r="E8" s="19"/>
      <c r="F8" s="19"/>
    </row>
    <row r="9" spans="1:6" ht="75" customHeight="1" x14ac:dyDescent="0.6">
      <c r="A9" s="20"/>
      <c r="B9" s="20" t="s">
        <v>32</v>
      </c>
      <c r="C9" s="21" t="s">
        <v>126</v>
      </c>
      <c r="D9" s="21" t="s">
        <v>96</v>
      </c>
      <c r="E9" s="19"/>
      <c r="F9" s="19"/>
    </row>
    <row r="10" spans="1:6" ht="70.5" customHeight="1" x14ac:dyDescent="0.6">
      <c r="A10" s="20"/>
      <c r="B10" s="20" t="s">
        <v>33</v>
      </c>
      <c r="C10" s="21" t="s">
        <v>127</v>
      </c>
      <c r="D10" s="21"/>
      <c r="E10" s="19"/>
      <c r="F10" s="19"/>
    </row>
  </sheetData>
  <mergeCells count="1">
    <mergeCell ref="A1:F1"/>
  </mergeCells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view="pageBreakPreview" topLeftCell="A4" zoomScale="60" zoomScaleNormal="100" workbookViewId="0">
      <selection activeCell="C10" sqref="C10"/>
    </sheetView>
  </sheetViews>
  <sheetFormatPr defaultRowHeight="18" x14ac:dyDescent="0.35"/>
  <cols>
    <col min="1" max="1" width="25.58203125" customWidth="1"/>
    <col min="2" max="2" width="52.08203125" customWidth="1"/>
    <col min="3" max="3" width="40.4140625" customWidth="1"/>
    <col min="4" max="4" width="34.9140625" customWidth="1"/>
    <col min="5" max="5" width="50.6640625" customWidth="1"/>
    <col min="6" max="6" width="45.25" customWidth="1"/>
  </cols>
  <sheetData>
    <row r="1" spans="1:6" ht="36.6" x14ac:dyDescent="0.7">
      <c r="A1" s="30" t="s">
        <v>34</v>
      </c>
      <c r="B1" s="30"/>
      <c r="C1" s="30"/>
      <c r="D1" s="30"/>
      <c r="E1" s="30"/>
      <c r="F1" s="30"/>
    </row>
    <row r="2" spans="1:6" ht="25.8" x14ac:dyDescent="0.35">
      <c r="A2" s="16" t="s">
        <v>0</v>
      </c>
      <c r="B2" s="16" t="s">
        <v>1</v>
      </c>
      <c r="C2" s="16" t="s">
        <v>2</v>
      </c>
      <c r="D2" s="16" t="s">
        <v>3</v>
      </c>
      <c r="E2" s="17" t="s">
        <v>4</v>
      </c>
      <c r="F2" s="17" t="s">
        <v>5</v>
      </c>
    </row>
    <row r="3" spans="1:6" ht="77.25" customHeight="1" x14ac:dyDescent="0.5">
      <c r="A3" s="12"/>
      <c r="B3" s="12" t="s">
        <v>89</v>
      </c>
      <c r="C3" s="13" t="s">
        <v>128</v>
      </c>
      <c r="D3" s="13"/>
      <c r="E3" s="11"/>
      <c r="F3" s="11"/>
    </row>
    <row r="4" spans="1:6" ht="68.25" customHeight="1" x14ac:dyDescent="0.5">
      <c r="A4" s="12"/>
      <c r="B4" s="12" t="s">
        <v>35</v>
      </c>
      <c r="C4" s="13" t="s">
        <v>129</v>
      </c>
      <c r="D4" s="13"/>
      <c r="E4" s="11"/>
      <c r="F4" s="11"/>
    </row>
    <row r="5" spans="1:6" ht="80.25" customHeight="1" x14ac:dyDescent="0.5">
      <c r="A5" s="12"/>
      <c r="B5" s="12" t="s">
        <v>36</v>
      </c>
      <c r="C5" s="13" t="s">
        <v>130</v>
      </c>
      <c r="D5" s="13"/>
      <c r="E5" s="11"/>
      <c r="F5" s="11"/>
    </row>
    <row r="6" spans="1:6" ht="93" customHeight="1" x14ac:dyDescent="0.5">
      <c r="A6" s="12"/>
      <c r="B6" s="12" t="s">
        <v>37</v>
      </c>
      <c r="C6" s="13" t="s">
        <v>127</v>
      </c>
      <c r="D6" s="13" t="s">
        <v>92</v>
      </c>
      <c r="E6" s="11"/>
      <c r="F6" s="11"/>
    </row>
    <row r="7" spans="1:6" ht="83.25" customHeight="1" x14ac:dyDescent="0.5">
      <c r="A7" s="12"/>
      <c r="B7" s="12" t="s">
        <v>38</v>
      </c>
      <c r="C7" s="13" t="s">
        <v>131</v>
      </c>
      <c r="D7" s="13"/>
      <c r="E7" s="11"/>
      <c r="F7" s="11"/>
    </row>
    <row r="8" spans="1:6" ht="84" customHeight="1" x14ac:dyDescent="0.5">
      <c r="A8" s="12"/>
      <c r="B8" s="12" t="s">
        <v>39</v>
      </c>
      <c r="C8" s="13"/>
      <c r="D8" s="13"/>
      <c r="E8" s="11"/>
      <c r="F8" s="11"/>
    </row>
    <row r="9" spans="1:6" s="3" customFormat="1" ht="98.25" customHeight="1" x14ac:dyDescent="0.5">
      <c r="A9" s="12"/>
      <c r="B9" s="12" t="s">
        <v>40</v>
      </c>
      <c r="C9" s="13" t="s">
        <v>347</v>
      </c>
      <c r="D9" s="13" t="s">
        <v>91</v>
      </c>
      <c r="E9" s="11"/>
      <c r="F9" s="11"/>
    </row>
    <row r="10" spans="1:6" s="3" customFormat="1" ht="81" customHeight="1" x14ac:dyDescent="0.5">
      <c r="A10" s="12"/>
      <c r="B10" s="12" t="s">
        <v>41</v>
      </c>
      <c r="C10" s="13" t="s">
        <v>132</v>
      </c>
      <c r="D10" s="13" t="s">
        <v>133</v>
      </c>
      <c r="E10" s="11"/>
      <c r="F10" s="11"/>
    </row>
    <row r="11" spans="1:6" s="3" customFormat="1" ht="36" customHeight="1" x14ac:dyDescent="0.5">
      <c r="A11" s="22"/>
      <c r="B11" s="22"/>
      <c r="C11" s="22"/>
      <c r="D11" s="22"/>
      <c r="E11" s="23"/>
      <c r="F11" s="23"/>
    </row>
  </sheetData>
  <mergeCells count="1">
    <mergeCell ref="A1:F1"/>
  </mergeCells>
  <pageMargins left="0.7" right="0.7" top="0.75" bottom="0.75" header="0.3" footer="0.3"/>
  <pageSetup paperSize="9" scale="4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5"/>
  <sheetViews>
    <sheetView tabSelected="1" topLeftCell="A16" zoomScaleNormal="100" workbookViewId="0">
      <selection activeCell="B28" sqref="B28"/>
    </sheetView>
  </sheetViews>
  <sheetFormatPr defaultRowHeight="18" x14ac:dyDescent="0.35"/>
  <cols>
    <col min="1" max="1" width="16.33203125" customWidth="1"/>
    <col min="2" max="2" width="36" customWidth="1"/>
    <col min="3" max="3" width="32" customWidth="1"/>
    <col min="4" max="4" width="29.1640625" customWidth="1"/>
    <col min="5" max="5" width="29.6640625" customWidth="1"/>
    <col min="6" max="6" width="20.33203125" customWidth="1"/>
  </cols>
  <sheetData>
    <row r="1" spans="1:6" ht="36.6" x14ac:dyDescent="0.7">
      <c r="A1" s="30" t="s">
        <v>43</v>
      </c>
      <c r="B1" s="30"/>
      <c r="C1" s="30"/>
      <c r="D1" s="30"/>
      <c r="E1" s="30"/>
      <c r="F1" s="30"/>
    </row>
    <row r="2" spans="1:6" x14ac:dyDescent="0.35">
      <c r="A2" s="4" t="s">
        <v>0</v>
      </c>
      <c r="B2" s="4" t="s">
        <v>1</v>
      </c>
      <c r="C2" s="4" t="s">
        <v>2</v>
      </c>
      <c r="D2" s="4" t="s">
        <v>3</v>
      </c>
      <c r="E2" s="7" t="s">
        <v>4</v>
      </c>
      <c r="F2" s="7" t="s">
        <v>5</v>
      </c>
    </row>
    <row r="3" spans="1:6" x14ac:dyDescent="0.35">
      <c r="A3" s="5"/>
      <c r="B3" s="5" t="s">
        <v>44</v>
      </c>
      <c r="C3" s="1" t="s">
        <v>147</v>
      </c>
      <c r="D3" s="1" t="s">
        <v>87</v>
      </c>
      <c r="E3" s="6"/>
      <c r="F3" s="6"/>
    </row>
    <row r="4" spans="1:6" x14ac:dyDescent="0.35">
      <c r="A4" s="5"/>
      <c r="B4" s="5" t="s">
        <v>45</v>
      </c>
      <c r="C4" s="1" t="s">
        <v>148</v>
      </c>
      <c r="D4" s="1" t="s">
        <v>97</v>
      </c>
      <c r="E4" s="6"/>
      <c r="F4" s="6"/>
    </row>
    <row r="5" spans="1:6" x14ac:dyDescent="0.35">
      <c r="A5" s="5"/>
      <c r="B5" s="5" t="s">
        <v>46</v>
      </c>
      <c r="C5" s="1" t="s">
        <v>149</v>
      </c>
      <c r="D5" s="1" t="s">
        <v>87</v>
      </c>
      <c r="E5" s="6"/>
      <c r="F5" s="6"/>
    </row>
    <row r="10" spans="1:6" ht="36.6" x14ac:dyDescent="0.7">
      <c r="A10" s="30" t="s">
        <v>47</v>
      </c>
      <c r="B10" s="30"/>
      <c r="C10" s="30"/>
      <c r="D10" s="30"/>
      <c r="E10" s="30"/>
      <c r="F10" s="30"/>
    </row>
    <row r="11" spans="1:6" x14ac:dyDescent="0.35">
      <c r="A11" s="4" t="s">
        <v>0</v>
      </c>
      <c r="B11" s="4" t="s">
        <v>1</v>
      </c>
      <c r="C11" s="4" t="s">
        <v>2</v>
      </c>
      <c r="D11" s="4" t="s">
        <v>3</v>
      </c>
      <c r="E11" s="7" t="s">
        <v>4</v>
      </c>
      <c r="F11" s="7" t="s">
        <v>5</v>
      </c>
    </row>
    <row r="12" spans="1:6" x14ac:dyDescent="0.35">
      <c r="A12" s="5"/>
      <c r="B12" s="5" t="s">
        <v>48</v>
      </c>
      <c r="C12" s="1" t="s">
        <v>150</v>
      </c>
      <c r="D12" s="10" t="s">
        <v>71</v>
      </c>
      <c r="E12" s="6"/>
      <c r="F12" s="6"/>
    </row>
    <row r="13" spans="1:6" x14ac:dyDescent="0.35">
      <c r="A13" s="5"/>
      <c r="B13" s="5" t="s">
        <v>50</v>
      </c>
      <c r="C13" s="1" t="s">
        <v>346</v>
      </c>
      <c r="D13" s="1" t="s">
        <v>88</v>
      </c>
      <c r="E13" s="6"/>
      <c r="F13" s="6"/>
    </row>
    <row r="17" spans="1:6" ht="36.6" x14ac:dyDescent="0.7">
      <c r="A17" s="30" t="s">
        <v>51</v>
      </c>
      <c r="B17" s="30"/>
      <c r="C17" s="30"/>
      <c r="D17" s="30"/>
      <c r="E17" s="30"/>
      <c r="F17" s="30"/>
    </row>
    <row r="18" spans="1:6" x14ac:dyDescent="0.35">
      <c r="A18" s="4" t="s">
        <v>0</v>
      </c>
      <c r="B18" s="4" t="s">
        <v>1</v>
      </c>
      <c r="C18" s="4" t="s">
        <v>2</v>
      </c>
      <c r="D18" s="4" t="s">
        <v>3</v>
      </c>
      <c r="E18" s="7" t="s">
        <v>4</v>
      </c>
      <c r="F18" s="7" t="s">
        <v>5</v>
      </c>
    </row>
    <row r="19" spans="1:6" x14ac:dyDescent="0.35">
      <c r="A19" s="5"/>
      <c r="B19" s="5" t="s">
        <v>52</v>
      </c>
      <c r="C19" s="1" t="s">
        <v>151</v>
      </c>
      <c r="D19" s="1" t="s">
        <v>172</v>
      </c>
      <c r="E19" s="6"/>
      <c r="F19" s="6"/>
    </row>
    <row r="20" spans="1:6" x14ac:dyDescent="0.35">
      <c r="A20" s="5"/>
      <c r="B20" s="5" t="s">
        <v>53</v>
      </c>
      <c r="C20" s="1" t="s">
        <v>152</v>
      </c>
      <c r="D20" s="1" t="s">
        <v>6</v>
      </c>
      <c r="E20" s="6"/>
      <c r="F20" s="6"/>
    </row>
    <row r="24" spans="1:6" ht="36.6" x14ac:dyDescent="0.7">
      <c r="A24" s="30" t="s">
        <v>42</v>
      </c>
      <c r="B24" s="30"/>
      <c r="C24" s="30"/>
      <c r="D24" s="30"/>
      <c r="E24" s="30"/>
      <c r="F24" s="30"/>
    </row>
    <row r="25" spans="1:6" x14ac:dyDescent="0.35">
      <c r="A25" s="4" t="s">
        <v>0</v>
      </c>
      <c r="B25" s="4" t="s">
        <v>1</v>
      </c>
      <c r="C25" s="4" t="s">
        <v>2</v>
      </c>
      <c r="D25" s="4" t="s">
        <v>3</v>
      </c>
      <c r="E25" s="7" t="s">
        <v>4</v>
      </c>
      <c r="F25" s="7" t="s">
        <v>5</v>
      </c>
    </row>
    <row r="26" spans="1:6" x14ac:dyDescent="0.35">
      <c r="A26" s="5"/>
      <c r="B26" s="5" t="s">
        <v>54</v>
      </c>
      <c r="C26" s="1" t="s">
        <v>153</v>
      </c>
      <c r="D26" s="1" t="s">
        <v>218</v>
      </c>
      <c r="E26" s="6"/>
      <c r="F26" s="6"/>
    </row>
    <row r="27" spans="1:6" x14ac:dyDescent="0.35">
      <c r="A27" s="5"/>
      <c r="B27" s="5" t="s">
        <v>366</v>
      </c>
      <c r="C27" s="1" t="s">
        <v>154</v>
      </c>
      <c r="D27" s="1" t="s">
        <v>218</v>
      </c>
      <c r="E27" s="6"/>
      <c r="F27" s="6"/>
    </row>
    <row r="28" spans="1:6" s="3" customFormat="1" x14ac:dyDescent="0.35">
      <c r="A28" s="5"/>
      <c r="B28" s="5" t="s">
        <v>156</v>
      </c>
      <c r="C28" s="1" t="s">
        <v>155</v>
      </c>
      <c r="D28" s="1" t="s">
        <v>172</v>
      </c>
      <c r="E28" s="6"/>
      <c r="F28" s="6"/>
    </row>
    <row r="29" spans="1:6" x14ac:dyDescent="0.35">
      <c r="A29" s="5"/>
      <c r="B29" s="5" t="s">
        <v>55</v>
      </c>
      <c r="C29" s="1" t="s">
        <v>122</v>
      </c>
      <c r="D29" s="1" t="s">
        <v>218</v>
      </c>
      <c r="E29" s="6"/>
      <c r="F29" s="6"/>
    </row>
    <row r="30" spans="1:6" x14ac:dyDescent="0.35">
      <c r="A30" s="6"/>
      <c r="B30" s="8" t="s">
        <v>56</v>
      </c>
      <c r="C30" s="6"/>
      <c r="D30" s="6"/>
      <c r="E30" s="6"/>
      <c r="F30" s="6"/>
    </row>
    <row r="37" spans="1:6" ht="36.6" x14ac:dyDescent="0.7">
      <c r="A37" s="30" t="s">
        <v>42</v>
      </c>
      <c r="B37" s="30"/>
      <c r="C37" s="30"/>
      <c r="D37" s="30"/>
      <c r="E37" s="30"/>
      <c r="F37" s="30"/>
    </row>
    <row r="38" spans="1:6" x14ac:dyDescent="0.35">
      <c r="A38" s="4" t="s">
        <v>0</v>
      </c>
      <c r="B38" s="4" t="s">
        <v>1</v>
      </c>
      <c r="C38" s="4" t="s">
        <v>2</v>
      </c>
      <c r="D38" s="4" t="s">
        <v>3</v>
      </c>
      <c r="E38" s="7" t="s">
        <v>4</v>
      </c>
      <c r="F38" s="7" t="s">
        <v>5</v>
      </c>
    </row>
    <row r="39" spans="1:6" x14ac:dyDescent="0.35">
      <c r="A39" s="5"/>
      <c r="B39" s="5" t="s">
        <v>57</v>
      </c>
      <c r="C39" s="1" t="s">
        <v>157</v>
      </c>
      <c r="D39" s="1" t="s">
        <v>172</v>
      </c>
      <c r="E39" s="6"/>
      <c r="F39" s="6"/>
    </row>
    <row r="40" spans="1:6" x14ac:dyDescent="0.35">
      <c r="A40" s="5"/>
      <c r="B40" s="5" t="s">
        <v>58</v>
      </c>
      <c r="C40" s="1" t="s">
        <v>158</v>
      </c>
      <c r="D40" s="1" t="s">
        <v>86</v>
      </c>
      <c r="E40" s="6"/>
      <c r="F40" s="6"/>
    </row>
    <row r="41" spans="1:6" x14ac:dyDescent="0.35">
      <c r="A41" s="5"/>
      <c r="B41" s="5" t="s">
        <v>59</v>
      </c>
      <c r="C41" s="1" t="s">
        <v>159</v>
      </c>
      <c r="D41" s="1" t="s">
        <v>160</v>
      </c>
      <c r="E41" s="6"/>
      <c r="F41" s="6"/>
    </row>
    <row r="42" spans="1:6" x14ac:dyDescent="0.35">
      <c r="A42" s="5"/>
      <c r="B42" s="5"/>
      <c r="C42" s="1"/>
      <c r="D42" s="1"/>
      <c r="E42" s="6"/>
      <c r="F42" s="6"/>
    </row>
    <row r="43" spans="1:6" x14ac:dyDescent="0.35">
      <c r="A43" s="6"/>
      <c r="B43" s="8"/>
      <c r="C43" s="6"/>
      <c r="D43" s="6"/>
      <c r="E43" s="6"/>
      <c r="F43" s="6"/>
    </row>
    <row r="49" spans="1:6" ht="36.6" x14ac:dyDescent="0.7">
      <c r="A49" s="30" t="s">
        <v>60</v>
      </c>
      <c r="B49" s="30"/>
      <c r="C49" s="30"/>
      <c r="D49" s="30"/>
      <c r="E49" s="30"/>
      <c r="F49" s="30"/>
    </row>
    <row r="50" spans="1:6" x14ac:dyDescent="0.35">
      <c r="A50" s="4" t="s">
        <v>0</v>
      </c>
      <c r="B50" s="4" t="s">
        <v>1</v>
      </c>
      <c r="C50" s="4" t="s">
        <v>2</v>
      </c>
      <c r="D50" s="4" t="s">
        <v>3</v>
      </c>
      <c r="E50" s="7" t="s">
        <v>4</v>
      </c>
      <c r="F50" s="7" t="s">
        <v>5</v>
      </c>
    </row>
    <row r="51" spans="1:6" x14ac:dyDescent="0.35">
      <c r="A51" s="5"/>
      <c r="B51" s="5" t="s">
        <v>64</v>
      </c>
      <c r="C51" s="1" t="s">
        <v>161</v>
      </c>
      <c r="D51" s="1" t="s">
        <v>85</v>
      </c>
      <c r="E51" s="6"/>
      <c r="F51" s="6"/>
    </row>
    <row r="52" spans="1:6" x14ac:dyDescent="0.35">
      <c r="A52" s="5"/>
      <c r="B52" s="5" t="s">
        <v>61</v>
      </c>
      <c r="C52" s="1" t="s">
        <v>162</v>
      </c>
      <c r="D52" s="1" t="s">
        <v>85</v>
      </c>
      <c r="E52" s="6"/>
      <c r="F52" s="6"/>
    </row>
    <row r="53" spans="1:6" x14ac:dyDescent="0.35">
      <c r="A53" s="5"/>
      <c r="B53" s="5" t="s">
        <v>62</v>
      </c>
      <c r="C53" s="1"/>
      <c r="D53" s="1" t="s">
        <v>85</v>
      </c>
      <c r="E53" s="6"/>
      <c r="F53" s="6"/>
    </row>
    <row r="54" spans="1:6" x14ac:dyDescent="0.35">
      <c r="A54" s="5"/>
      <c r="B54" s="5" t="s">
        <v>63</v>
      </c>
      <c r="C54" s="1"/>
      <c r="D54" s="1" t="s">
        <v>85</v>
      </c>
      <c r="E54" s="6"/>
      <c r="F54" s="6"/>
    </row>
    <row r="55" spans="1:6" x14ac:dyDescent="0.35">
      <c r="A55" s="6"/>
      <c r="B55" s="8"/>
      <c r="C55" s="6"/>
      <c r="D55" s="6"/>
      <c r="E55" s="6"/>
      <c r="F55" s="6"/>
    </row>
  </sheetData>
  <mergeCells count="6">
    <mergeCell ref="A49:F49"/>
    <mergeCell ref="A1:F1"/>
    <mergeCell ref="A10:F10"/>
    <mergeCell ref="A17:F17"/>
    <mergeCell ref="A24:F24"/>
    <mergeCell ref="A37:F37"/>
  </mergeCells>
  <pageMargins left="0.7" right="0.7" top="0.75" bottom="0.75" header="0.3" footer="0.3"/>
  <pageSetup paperSize="9" scale="41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view="pageBreakPreview" zoomScale="60" zoomScaleNormal="100" workbookViewId="0">
      <selection activeCell="C14" sqref="C14"/>
    </sheetView>
  </sheetViews>
  <sheetFormatPr defaultRowHeight="18" x14ac:dyDescent="0.35"/>
  <cols>
    <col min="1" max="1" width="28.4140625" customWidth="1"/>
    <col min="2" max="2" width="49.5" style="3" customWidth="1"/>
    <col min="3" max="3" width="41.5" customWidth="1"/>
    <col min="4" max="4" width="33.08203125" customWidth="1"/>
    <col min="5" max="5" width="26.4140625" customWidth="1"/>
    <col min="6" max="6" width="25.4140625" customWidth="1"/>
  </cols>
  <sheetData>
    <row r="1" spans="1:6" ht="31.2" x14ac:dyDescent="0.6">
      <c r="A1" s="31" t="s">
        <v>65</v>
      </c>
      <c r="B1" s="31"/>
      <c r="C1" s="31"/>
      <c r="D1" s="31"/>
      <c r="E1" s="31"/>
      <c r="F1" s="31"/>
    </row>
    <row r="2" spans="1:6" ht="31.2" x14ac:dyDescent="0.35">
      <c r="A2" s="24" t="s">
        <v>0</v>
      </c>
      <c r="B2" s="24" t="s">
        <v>1</v>
      </c>
      <c r="C2" s="24" t="s">
        <v>2</v>
      </c>
      <c r="D2" s="24" t="s">
        <v>3</v>
      </c>
      <c r="E2" s="25" t="s">
        <v>4</v>
      </c>
      <c r="F2" s="25" t="s">
        <v>5</v>
      </c>
    </row>
    <row r="3" spans="1:6" ht="64.2" customHeight="1" x14ac:dyDescent="0.35">
      <c r="A3" s="5"/>
      <c r="B3" s="20" t="s">
        <v>66</v>
      </c>
      <c r="C3" s="21" t="s">
        <v>352</v>
      </c>
      <c r="D3" s="13" t="s">
        <v>172</v>
      </c>
      <c r="E3" s="6"/>
      <c r="F3" s="6"/>
    </row>
    <row r="4" spans="1:6" ht="67.8" customHeight="1" x14ac:dyDescent="0.35">
      <c r="A4" s="5"/>
      <c r="B4" s="20" t="s">
        <v>57</v>
      </c>
      <c r="C4" s="21" t="s">
        <v>353</v>
      </c>
      <c r="D4" s="21" t="s">
        <v>172</v>
      </c>
      <c r="E4" s="6"/>
      <c r="F4" s="6"/>
    </row>
    <row r="5" spans="1:6" ht="65.400000000000006" customHeight="1" x14ac:dyDescent="0.35">
      <c r="A5" s="5"/>
      <c r="B5" s="20" t="s">
        <v>67</v>
      </c>
      <c r="C5" s="21" t="s">
        <v>354</v>
      </c>
      <c r="D5" s="1"/>
      <c r="E5" s="6"/>
      <c r="F5" s="6"/>
    </row>
    <row r="6" spans="1:6" ht="55.8" customHeight="1" x14ac:dyDescent="0.35">
      <c r="A6" s="5"/>
      <c r="B6" s="20" t="s">
        <v>38</v>
      </c>
      <c r="C6" s="21" t="s">
        <v>344</v>
      </c>
      <c r="D6" s="13" t="s">
        <v>172</v>
      </c>
      <c r="E6" s="6"/>
      <c r="F6" s="6"/>
    </row>
    <row r="7" spans="1:6" ht="55.2" customHeight="1" x14ac:dyDescent="0.35">
      <c r="A7" s="5"/>
      <c r="B7" s="20" t="s">
        <v>68</v>
      </c>
      <c r="C7" s="21" t="s">
        <v>355</v>
      </c>
      <c r="D7" s="1"/>
      <c r="E7" s="6"/>
      <c r="F7" s="6"/>
    </row>
    <row r="8" spans="1:6" ht="63.6" customHeight="1" x14ac:dyDescent="0.35">
      <c r="A8" s="5"/>
      <c r="B8" s="20" t="s">
        <v>69</v>
      </c>
      <c r="C8" s="21" t="s">
        <v>356</v>
      </c>
      <c r="D8" s="21" t="s">
        <v>218</v>
      </c>
      <c r="E8" s="6"/>
      <c r="F8" s="6"/>
    </row>
    <row r="9" spans="1:6" ht="60.6" customHeight="1" x14ac:dyDescent="0.35">
      <c r="A9" s="5"/>
      <c r="B9" s="20" t="s">
        <v>70</v>
      </c>
      <c r="C9" s="21" t="s">
        <v>357</v>
      </c>
      <c r="D9" s="1"/>
      <c r="E9" s="6"/>
      <c r="F9" s="6"/>
    </row>
    <row r="10" spans="1:6" ht="90.6" customHeight="1" x14ac:dyDescent="0.35">
      <c r="A10" s="10"/>
      <c r="B10" s="26" t="s">
        <v>343</v>
      </c>
      <c r="C10" s="26" t="s">
        <v>342</v>
      </c>
      <c r="D10" s="10"/>
      <c r="E10" s="10"/>
      <c r="F10" s="10"/>
    </row>
    <row r="11" spans="1:6" ht="53.4" customHeight="1" x14ac:dyDescent="0.45">
      <c r="A11" s="10"/>
      <c r="B11" s="26" t="s">
        <v>345</v>
      </c>
      <c r="C11" s="26" t="s">
        <v>146</v>
      </c>
      <c r="D11" s="55" t="s">
        <v>172</v>
      </c>
      <c r="E11" s="10"/>
      <c r="F11" s="10"/>
    </row>
    <row r="12" spans="1:6" ht="71.400000000000006" customHeight="1" x14ac:dyDescent="0.35">
      <c r="B12" s="54" t="s">
        <v>358</v>
      </c>
      <c r="C12" s="54" t="s">
        <v>359</v>
      </c>
    </row>
    <row r="13" spans="1:6" s="10" customFormat="1" ht="57.6" customHeight="1" x14ac:dyDescent="0.35">
      <c r="B13" s="26" t="s">
        <v>360</v>
      </c>
      <c r="C13" s="26" t="s">
        <v>159</v>
      </c>
    </row>
    <row r="14" spans="1:6" ht="56.4" customHeight="1" x14ac:dyDescent="0.35">
      <c r="A14" s="10"/>
      <c r="B14" s="26" t="s">
        <v>361</v>
      </c>
      <c r="C14" s="26" t="s">
        <v>362</v>
      </c>
      <c r="D14" s="10"/>
      <c r="E14" s="10"/>
      <c r="F14" s="10"/>
    </row>
    <row r="15" spans="1:6" ht="50.4" customHeight="1" x14ac:dyDescent="0.5">
      <c r="A15" s="10"/>
      <c r="B15" s="26" t="s">
        <v>343</v>
      </c>
      <c r="C15" s="11" t="s">
        <v>363</v>
      </c>
      <c r="D15" s="55" t="s">
        <v>364</v>
      </c>
      <c r="E15" s="10"/>
      <c r="F15" s="10"/>
    </row>
  </sheetData>
  <mergeCells count="1">
    <mergeCell ref="A1:F1"/>
  </mergeCells>
  <pageMargins left="0.7" right="0.7" top="0.75" bottom="0.75" header="0.3" footer="0.3"/>
  <pageSetup paperSize="9" scale="41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"/>
  <sheetViews>
    <sheetView view="pageBreakPreview" topLeftCell="A7" zoomScale="60" zoomScaleNormal="100" workbookViewId="0">
      <selection activeCell="B8" sqref="B8"/>
    </sheetView>
  </sheetViews>
  <sheetFormatPr defaultRowHeight="18" x14ac:dyDescent="0.35"/>
  <cols>
    <col min="1" max="1" width="25.08203125" customWidth="1"/>
    <col min="2" max="2" width="48.9140625" style="9" customWidth="1"/>
    <col min="3" max="3" width="38.5" customWidth="1"/>
    <col min="4" max="4" width="36.33203125" customWidth="1"/>
    <col min="5" max="5" width="43.08203125" customWidth="1"/>
    <col min="6" max="6" width="42.9140625" customWidth="1"/>
  </cols>
  <sheetData>
    <row r="1" spans="1:6" ht="69.599999999999994" customHeight="1" x14ac:dyDescent="0.65">
      <c r="A1" s="32" t="s">
        <v>75</v>
      </c>
      <c r="B1" s="33"/>
      <c r="C1" s="33"/>
      <c r="D1" s="33"/>
      <c r="E1" s="33"/>
      <c r="F1" s="33"/>
    </row>
    <row r="2" spans="1:6" ht="31.2" x14ac:dyDescent="0.35">
      <c r="A2" s="24" t="s">
        <v>0</v>
      </c>
      <c r="B2" s="24" t="s">
        <v>1</v>
      </c>
      <c r="C2" s="24" t="s">
        <v>2</v>
      </c>
      <c r="D2" s="24" t="s">
        <v>3</v>
      </c>
      <c r="E2" s="25" t="s">
        <v>4</v>
      </c>
      <c r="F2" s="25" t="s">
        <v>5</v>
      </c>
    </row>
    <row r="3" spans="1:6" ht="65.25" customHeight="1" x14ac:dyDescent="0.6">
      <c r="A3" s="20"/>
      <c r="B3" s="20" t="s">
        <v>76</v>
      </c>
      <c r="C3" s="21" t="s">
        <v>134</v>
      </c>
      <c r="D3" s="21"/>
      <c r="E3" s="19"/>
      <c r="F3" s="19"/>
    </row>
    <row r="4" spans="1:6" ht="96.75" customHeight="1" x14ac:dyDescent="0.6">
      <c r="A4" s="20"/>
      <c r="B4" s="20" t="s">
        <v>77</v>
      </c>
      <c r="C4" s="21" t="s">
        <v>123</v>
      </c>
      <c r="D4" s="21" t="s">
        <v>90</v>
      </c>
      <c r="E4" s="19"/>
      <c r="F4" s="19"/>
    </row>
    <row r="5" spans="1:6" ht="89.25" customHeight="1" x14ac:dyDescent="0.6">
      <c r="A5" s="20"/>
      <c r="B5" s="20" t="s">
        <v>78</v>
      </c>
      <c r="C5" s="21" t="s">
        <v>135</v>
      </c>
      <c r="D5" s="21" t="s">
        <v>93</v>
      </c>
      <c r="E5" s="19"/>
      <c r="F5" s="19"/>
    </row>
    <row r="6" spans="1:6" ht="93.75" customHeight="1" x14ac:dyDescent="0.6">
      <c r="A6" s="20"/>
      <c r="B6" s="20" t="s">
        <v>79</v>
      </c>
      <c r="C6" s="21" t="s">
        <v>136</v>
      </c>
      <c r="D6" s="21" t="s">
        <v>93</v>
      </c>
      <c r="E6" s="19"/>
      <c r="F6" s="19"/>
    </row>
    <row r="7" spans="1:6" ht="97.5" customHeight="1" x14ac:dyDescent="0.6">
      <c r="A7" s="20"/>
      <c r="B7" s="20" t="s">
        <v>365</v>
      </c>
      <c r="C7" s="21" t="s">
        <v>349</v>
      </c>
      <c r="D7" s="21" t="s">
        <v>350</v>
      </c>
      <c r="E7" s="19"/>
      <c r="F7" s="19"/>
    </row>
    <row r="8" spans="1:6" ht="95.25" customHeight="1" x14ac:dyDescent="0.6">
      <c r="A8" s="20"/>
      <c r="B8" s="20" t="s">
        <v>80</v>
      </c>
      <c r="C8" s="21" t="s">
        <v>137</v>
      </c>
      <c r="D8" s="21" t="s">
        <v>93</v>
      </c>
      <c r="E8" s="19"/>
      <c r="F8" s="19"/>
    </row>
    <row r="9" spans="1:6" ht="90" customHeight="1" x14ac:dyDescent="0.6">
      <c r="A9" s="20"/>
      <c r="B9" s="20" t="s">
        <v>100</v>
      </c>
      <c r="C9" s="21" t="s">
        <v>164</v>
      </c>
      <c r="D9" s="21" t="s">
        <v>93</v>
      </c>
      <c r="E9" s="19"/>
      <c r="F9" s="19"/>
    </row>
    <row r="10" spans="1:6" s="9" customFormat="1" ht="96" customHeight="1" x14ac:dyDescent="0.6">
      <c r="A10" s="20"/>
      <c r="B10" s="20" t="s">
        <v>81</v>
      </c>
      <c r="C10" s="21" t="s">
        <v>138</v>
      </c>
      <c r="D10" s="21" t="s">
        <v>87</v>
      </c>
      <c r="E10" s="19"/>
      <c r="F10" s="19"/>
    </row>
    <row r="11" spans="1:6" s="9" customFormat="1" ht="101.25" customHeight="1" x14ac:dyDescent="0.6">
      <c r="A11" s="20"/>
      <c r="B11" s="20" t="s">
        <v>82</v>
      </c>
      <c r="C11" s="21" t="s">
        <v>139</v>
      </c>
      <c r="D11" s="21" t="s">
        <v>87</v>
      </c>
      <c r="E11" s="19"/>
      <c r="F11" s="11"/>
    </row>
    <row r="12" spans="1:6" s="9" customFormat="1" ht="83.25" customHeight="1" x14ac:dyDescent="0.6">
      <c r="A12" s="20"/>
      <c r="B12" s="20" t="s">
        <v>84</v>
      </c>
      <c r="C12" s="21" t="s">
        <v>121</v>
      </c>
      <c r="D12" s="21"/>
      <c r="E12" s="19"/>
      <c r="F12" s="11"/>
    </row>
    <row r="13" spans="1:6" s="9" customFormat="1" ht="96" customHeight="1" x14ac:dyDescent="0.6">
      <c r="A13" s="20"/>
      <c r="B13" s="20" t="s">
        <v>83</v>
      </c>
      <c r="C13" s="21" t="s">
        <v>140</v>
      </c>
      <c r="D13" s="21"/>
      <c r="E13" s="19"/>
      <c r="F13" s="11"/>
    </row>
    <row r="14" spans="1:6" ht="75.599999999999994" customHeight="1" x14ac:dyDescent="0.6">
      <c r="A14" s="19"/>
      <c r="B14" s="26" t="s">
        <v>37</v>
      </c>
      <c r="C14" s="26" t="s">
        <v>141</v>
      </c>
      <c r="D14" s="19"/>
      <c r="E14" s="19"/>
      <c r="F14" s="10"/>
    </row>
    <row r="15" spans="1:6" ht="60" customHeight="1" x14ac:dyDescent="0.6">
      <c r="A15" s="19"/>
      <c r="B15" s="26" t="s">
        <v>142</v>
      </c>
      <c r="C15" s="26" t="s">
        <v>143</v>
      </c>
      <c r="D15" s="19"/>
      <c r="E15" s="19"/>
      <c r="F15" s="10"/>
    </row>
    <row r="16" spans="1:6" ht="80.400000000000006" customHeight="1" x14ac:dyDescent="0.6">
      <c r="A16" s="19"/>
      <c r="B16" s="26" t="s">
        <v>144</v>
      </c>
      <c r="C16" s="26" t="s">
        <v>145</v>
      </c>
      <c r="D16" s="19" t="s">
        <v>91</v>
      </c>
      <c r="E16" s="19"/>
      <c r="F16" s="10"/>
    </row>
    <row r="17" spans="1:5" ht="71.400000000000006" customHeight="1" x14ac:dyDescent="0.35">
      <c r="A17" s="10"/>
      <c r="B17" s="26" t="s">
        <v>165</v>
      </c>
      <c r="C17" s="26" t="s">
        <v>166</v>
      </c>
      <c r="D17" s="27" t="s">
        <v>167</v>
      </c>
      <c r="E17" s="10"/>
    </row>
  </sheetData>
  <mergeCells count="1">
    <mergeCell ref="A1:F1"/>
  </mergeCells>
  <pageMargins left="0.7" right="0.7" top="0.75" bottom="0.75" header="0.3" footer="0.3"/>
  <pageSetup paperSize="9" scale="3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F392B-80C9-4FA2-8E72-1DDB3F587713}">
  <dimension ref="A1:F18"/>
  <sheetViews>
    <sheetView view="pageBreakPreview" topLeftCell="A10" zoomScale="60" zoomScaleNormal="100" workbookViewId="0">
      <selection activeCell="B23" sqref="B23:B36"/>
    </sheetView>
  </sheetViews>
  <sheetFormatPr defaultRowHeight="18" x14ac:dyDescent="0.35"/>
  <cols>
    <col min="1" max="1" width="35.6640625" customWidth="1"/>
    <col min="2" max="2" width="60.58203125" customWidth="1"/>
    <col min="3" max="3" width="50.6640625" customWidth="1"/>
    <col min="4" max="4" width="36.75" customWidth="1"/>
    <col min="5" max="5" width="41.5" customWidth="1"/>
    <col min="6" max="6" width="35.33203125" customWidth="1"/>
  </cols>
  <sheetData>
    <row r="1" spans="1:6" ht="31.2" x14ac:dyDescent="0.6">
      <c r="A1" s="34" t="s">
        <v>163</v>
      </c>
      <c r="B1" s="31"/>
      <c r="C1" s="31"/>
      <c r="D1" s="31"/>
      <c r="E1" s="31"/>
      <c r="F1" s="31"/>
    </row>
    <row r="2" spans="1:6" ht="31.2" x14ac:dyDescent="0.35">
      <c r="A2" s="24" t="s">
        <v>0</v>
      </c>
      <c r="B2" s="24" t="s">
        <v>1</v>
      </c>
      <c r="C2" s="24" t="s">
        <v>2</v>
      </c>
      <c r="D2" s="24" t="s">
        <v>3</v>
      </c>
      <c r="E2" s="25" t="s">
        <v>4</v>
      </c>
      <c r="F2" s="25" t="s">
        <v>5</v>
      </c>
    </row>
    <row r="3" spans="1:6" ht="51" customHeight="1" x14ac:dyDescent="0.6">
      <c r="A3" s="20"/>
      <c r="B3" s="20" t="s">
        <v>168</v>
      </c>
      <c r="C3" s="21" t="s">
        <v>169</v>
      </c>
      <c r="D3" s="21" t="s">
        <v>170</v>
      </c>
      <c r="E3" s="19"/>
      <c r="F3" s="19"/>
    </row>
    <row r="4" spans="1:6" ht="45" customHeight="1" x14ac:dyDescent="0.6">
      <c r="A4" s="20"/>
      <c r="B4" s="20" t="s">
        <v>171</v>
      </c>
      <c r="C4" s="21" t="s">
        <v>159</v>
      </c>
      <c r="D4" s="21" t="s">
        <v>172</v>
      </c>
      <c r="E4" s="19"/>
      <c r="F4" s="19"/>
    </row>
    <row r="5" spans="1:6" ht="53.4" customHeight="1" x14ac:dyDescent="0.6">
      <c r="A5" s="20"/>
      <c r="B5" s="20" t="s">
        <v>173</v>
      </c>
      <c r="C5" s="21" t="s">
        <v>174</v>
      </c>
      <c r="D5" s="21" t="s">
        <v>175</v>
      </c>
      <c r="E5" s="19"/>
      <c r="F5" s="19"/>
    </row>
    <row r="6" spans="1:6" ht="45" customHeight="1" x14ac:dyDescent="0.6">
      <c r="A6" s="20"/>
      <c r="B6" s="20" t="s">
        <v>176</v>
      </c>
      <c r="C6" s="21" t="s">
        <v>177</v>
      </c>
      <c r="D6" s="21" t="s">
        <v>178</v>
      </c>
      <c r="E6" s="19"/>
      <c r="F6" s="19"/>
    </row>
    <row r="7" spans="1:6" ht="48" customHeight="1" x14ac:dyDescent="0.6">
      <c r="A7" s="20"/>
      <c r="B7" s="20" t="s">
        <v>179</v>
      </c>
      <c r="C7" s="21" t="s">
        <v>180</v>
      </c>
      <c r="D7" s="21" t="s">
        <v>172</v>
      </c>
      <c r="E7" s="19"/>
      <c r="F7" s="19"/>
    </row>
    <row r="8" spans="1:6" ht="59.4" customHeight="1" x14ac:dyDescent="0.6">
      <c r="A8" s="20"/>
      <c r="B8" s="20" t="s">
        <v>181</v>
      </c>
      <c r="C8" s="21" t="s">
        <v>121</v>
      </c>
      <c r="D8" s="21" t="s">
        <v>172</v>
      </c>
      <c r="E8" s="19"/>
      <c r="F8" s="19"/>
    </row>
    <row r="9" spans="1:6" ht="63" customHeight="1" x14ac:dyDescent="0.6">
      <c r="A9" s="20"/>
      <c r="B9" s="20" t="s">
        <v>221</v>
      </c>
      <c r="C9" s="21" t="s">
        <v>182</v>
      </c>
      <c r="D9" s="21" t="s">
        <v>220</v>
      </c>
      <c r="E9" s="19"/>
      <c r="F9" s="19"/>
    </row>
    <row r="10" spans="1:6" ht="65.400000000000006" customHeight="1" x14ac:dyDescent="0.6">
      <c r="A10" s="20"/>
      <c r="B10" s="20" t="s">
        <v>183</v>
      </c>
      <c r="C10" s="21" t="s">
        <v>184</v>
      </c>
      <c r="D10" s="21"/>
      <c r="E10" s="19"/>
      <c r="F10" s="19"/>
    </row>
    <row r="11" spans="1:6" ht="66" customHeight="1" x14ac:dyDescent="0.6">
      <c r="A11" s="20"/>
      <c r="B11" s="20" t="s">
        <v>171</v>
      </c>
      <c r="C11" s="21" t="s">
        <v>185</v>
      </c>
      <c r="D11" s="21" t="s">
        <v>175</v>
      </c>
      <c r="E11" s="19"/>
      <c r="F11" s="11"/>
    </row>
    <row r="12" spans="1:6" ht="48" customHeight="1" x14ac:dyDescent="0.6">
      <c r="A12" s="20"/>
      <c r="B12" s="20" t="s">
        <v>37</v>
      </c>
      <c r="C12" s="21" t="s">
        <v>186</v>
      </c>
      <c r="D12" s="21" t="s">
        <v>175</v>
      </c>
      <c r="E12" s="19"/>
      <c r="F12" s="11"/>
    </row>
    <row r="13" spans="1:6" ht="72" customHeight="1" x14ac:dyDescent="0.6">
      <c r="A13" s="20"/>
      <c r="B13" s="20" t="s">
        <v>83</v>
      </c>
      <c r="C13" s="21" t="s">
        <v>187</v>
      </c>
      <c r="D13" s="21" t="s">
        <v>178</v>
      </c>
      <c r="E13" s="19"/>
      <c r="F13" s="11"/>
    </row>
    <row r="14" spans="1:6" ht="61.2" customHeight="1" x14ac:dyDescent="0.6">
      <c r="A14" s="19"/>
      <c r="B14" s="26" t="s">
        <v>188</v>
      </c>
      <c r="C14" s="26" t="s">
        <v>189</v>
      </c>
      <c r="D14" s="19" t="s">
        <v>175</v>
      </c>
      <c r="E14" s="19"/>
      <c r="F14" s="10"/>
    </row>
    <row r="15" spans="1:6" ht="56.4" customHeight="1" x14ac:dyDescent="0.6">
      <c r="A15" s="19"/>
      <c r="B15" s="26" t="s">
        <v>190</v>
      </c>
      <c r="C15" s="26" t="s">
        <v>191</v>
      </c>
      <c r="D15" s="19" t="s">
        <v>175</v>
      </c>
      <c r="E15" s="19"/>
      <c r="F15" s="10"/>
    </row>
    <row r="16" spans="1:6" ht="48" customHeight="1" x14ac:dyDescent="0.35">
      <c r="A16" s="10"/>
      <c r="B16" s="26" t="s">
        <v>192</v>
      </c>
      <c r="C16" s="26" t="s">
        <v>191</v>
      </c>
      <c r="D16" s="26" t="s">
        <v>175</v>
      </c>
      <c r="E16" s="10"/>
      <c r="F16" s="10"/>
    </row>
    <row r="17" spans="1:6" ht="70.2" customHeight="1" x14ac:dyDescent="0.35">
      <c r="A17" s="10"/>
      <c r="B17" s="26" t="s">
        <v>193</v>
      </c>
      <c r="C17" s="26" t="s">
        <v>194</v>
      </c>
      <c r="D17" s="26" t="s">
        <v>175</v>
      </c>
      <c r="E17" s="10"/>
      <c r="F17" s="10"/>
    </row>
    <row r="18" spans="1:6" ht="59.4" customHeight="1" x14ac:dyDescent="0.35">
      <c r="A18" s="10"/>
      <c r="B18" s="26" t="s">
        <v>195</v>
      </c>
      <c r="C18" s="26" t="s">
        <v>196</v>
      </c>
      <c r="D18" s="26" t="s">
        <v>175</v>
      </c>
      <c r="E18" s="10"/>
      <c r="F18" s="10"/>
    </row>
  </sheetData>
  <mergeCells count="1">
    <mergeCell ref="A1:F1"/>
  </mergeCells>
  <pageMargins left="0.7" right="0.7" top="0.75" bottom="0.75" header="0.3" footer="0.3"/>
  <pageSetup paperSize="9" scale="37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768C7-F702-47D8-9A39-E3630B98A1D2}">
  <dimension ref="A1:F12"/>
  <sheetViews>
    <sheetView view="pageBreakPreview" zoomScale="60" zoomScaleNormal="100" workbookViewId="0">
      <selection activeCell="E3" sqref="E3"/>
    </sheetView>
  </sheetViews>
  <sheetFormatPr defaultRowHeight="18" x14ac:dyDescent="0.35"/>
  <cols>
    <col min="1" max="1" width="32.83203125" customWidth="1"/>
    <col min="2" max="2" width="46.58203125" customWidth="1"/>
    <col min="3" max="3" width="35.08203125" customWidth="1"/>
    <col min="4" max="4" width="44.5" customWidth="1"/>
    <col min="5" max="5" width="41.6640625" customWidth="1"/>
    <col min="6" max="6" width="42.6640625" customWidth="1"/>
  </cols>
  <sheetData>
    <row r="1" spans="1:6" ht="31.2" x14ac:dyDescent="0.6">
      <c r="A1" s="34" t="s">
        <v>202</v>
      </c>
      <c r="B1" s="31"/>
      <c r="C1" s="31"/>
      <c r="D1" s="31"/>
      <c r="E1" s="31"/>
      <c r="F1" s="31"/>
    </row>
    <row r="2" spans="1:6" ht="31.2" x14ac:dyDescent="0.35">
      <c r="A2" s="24" t="s">
        <v>0</v>
      </c>
      <c r="B2" s="24" t="s">
        <v>1</v>
      </c>
      <c r="C2" s="24" t="s">
        <v>2</v>
      </c>
      <c r="D2" s="24" t="s">
        <v>3</v>
      </c>
      <c r="E2" s="25" t="s">
        <v>4</v>
      </c>
      <c r="F2" s="25" t="s">
        <v>5</v>
      </c>
    </row>
    <row r="3" spans="1:6" ht="66" customHeight="1" x14ac:dyDescent="0.6">
      <c r="A3" s="20"/>
      <c r="B3" s="20" t="s">
        <v>197</v>
      </c>
      <c r="C3" s="21" t="s">
        <v>198</v>
      </c>
      <c r="D3" s="21" t="s">
        <v>175</v>
      </c>
      <c r="E3" s="19"/>
      <c r="F3" s="19"/>
    </row>
    <row r="4" spans="1:6" ht="45" customHeight="1" x14ac:dyDescent="0.6">
      <c r="A4" s="20"/>
      <c r="B4" s="20" t="s">
        <v>199</v>
      </c>
      <c r="C4" s="21" t="s">
        <v>200</v>
      </c>
      <c r="D4" s="21" t="s">
        <v>201</v>
      </c>
      <c r="E4" s="19"/>
      <c r="F4" s="19"/>
    </row>
    <row r="5" spans="1:6" ht="65.400000000000006" customHeight="1" x14ac:dyDescent="0.6">
      <c r="A5" s="20"/>
      <c r="B5" s="20" t="s">
        <v>203</v>
      </c>
      <c r="C5" s="21" t="s">
        <v>204</v>
      </c>
      <c r="D5" s="21" t="s">
        <v>175</v>
      </c>
      <c r="E5" s="19"/>
      <c r="F5" s="19"/>
    </row>
    <row r="6" spans="1:6" ht="54" customHeight="1" x14ac:dyDescent="0.6">
      <c r="A6" s="20"/>
      <c r="B6" s="20" t="s">
        <v>205</v>
      </c>
      <c r="C6" s="21" t="s">
        <v>206</v>
      </c>
      <c r="D6" s="21" t="s">
        <v>172</v>
      </c>
      <c r="E6" s="19"/>
      <c r="F6" s="19"/>
    </row>
    <row r="7" spans="1:6" ht="57" customHeight="1" x14ac:dyDescent="0.6">
      <c r="A7" s="20"/>
      <c r="B7" s="20" t="s">
        <v>207</v>
      </c>
      <c r="C7" s="21" t="s">
        <v>208</v>
      </c>
      <c r="D7" s="21" t="s">
        <v>348</v>
      </c>
      <c r="E7" s="19"/>
      <c r="F7" s="19"/>
    </row>
    <row r="8" spans="1:6" ht="67.2" customHeight="1" x14ac:dyDescent="0.6">
      <c r="A8" s="20"/>
      <c r="B8" s="20" t="s">
        <v>207</v>
      </c>
      <c r="C8" s="21" t="s">
        <v>209</v>
      </c>
      <c r="D8" s="21" t="s">
        <v>175</v>
      </c>
      <c r="E8" s="19"/>
      <c r="F8" s="19"/>
    </row>
    <row r="9" spans="1:6" ht="66.599999999999994" customHeight="1" x14ac:dyDescent="0.6">
      <c r="A9" s="20"/>
      <c r="B9" s="20" t="s">
        <v>210</v>
      </c>
      <c r="C9" s="21" t="s">
        <v>211</v>
      </c>
      <c r="D9" s="21" t="s">
        <v>172</v>
      </c>
      <c r="E9" s="19"/>
      <c r="F9" s="19"/>
    </row>
    <row r="10" spans="1:6" ht="64.2" customHeight="1" x14ac:dyDescent="0.6">
      <c r="A10" s="20"/>
      <c r="B10" s="20" t="s">
        <v>212</v>
      </c>
      <c r="C10" s="21" t="s">
        <v>213</v>
      </c>
      <c r="D10" s="21" t="s">
        <v>175</v>
      </c>
      <c r="E10" s="19"/>
      <c r="F10" s="19"/>
    </row>
    <row r="11" spans="1:6" ht="60" customHeight="1" x14ac:dyDescent="0.6">
      <c r="A11" s="20"/>
      <c r="B11" s="20" t="s">
        <v>214</v>
      </c>
      <c r="C11" s="21" t="s">
        <v>215</v>
      </c>
      <c r="D11" s="21" t="s">
        <v>175</v>
      </c>
      <c r="E11" s="19"/>
      <c r="F11" s="11"/>
    </row>
    <row r="12" spans="1:6" ht="60" customHeight="1" x14ac:dyDescent="0.6">
      <c r="A12" s="20"/>
      <c r="B12" s="20" t="s">
        <v>216</v>
      </c>
      <c r="C12" s="21" t="s">
        <v>217</v>
      </c>
      <c r="D12" s="21" t="s">
        <v>175</v>
      </c>
      <c r="E12" s="19"/>
      <c r="F12" s="11"/>
    </row>
  </sheetData>
  <mergeCells count="1">
    <mergeCell ref="A1:F1"/>
  </mergeCells>
  <pageMargins left="0.7" right="0.7" top="0.75" bottom="0.75" header="0.3" footer="0.3"/>
  <pageSetup paperSize="9" scale="37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1B763-C162-4205-B658-B9DB88FA5329}">
  <dimension ref="A1:D80"/>
  <sheetViews>
    <sheetView view="pageBreakPreview" topLeftCell="B1" zoomScale="60" zoomScaleNormal="100" workbookViewId="0">
      <selection activeCell="B73" sqref="B73"/>
    </sheetView>
  </sheetViews>
  <sheetFormatPr defaultRowHeight="18" x14ac:dyDescent="0.35"/>
  <cols>
    <col min="1" max="1" width="26.25" customWidth="1"/>
    <col min="2" max="2" width="76.5" customWidth="1"/>
    <col min="3" max="3" width="71.9140625" customWidth="1"/>
    <col min="4" max="4" width="50.08203125" customWidth="1"/>
  </cols>
  <sheetData>
    <row r="1" spans="1:4" ht="37.200000000000003" thickBot="1" x14ac:dyDescent="0.75">
      <c r="A1" s="35" t="s">
        <v>340</v>
      </c>
      <c r="B1" s="36"/>
      <c r="C1" s="37"/>
      <c r="D1" s="9"/>
    </row>
    <row r="2" spans="1:4" ht="31.2" x14ac:dyDescent="0.6">
      <c r="A2" s="39" t="s">
        <v>0</v>
      </c>
      <c r="B2" s="40" t="s">
        <v>1</v>
      </c>
      <c r="C2" s="39" t="s">
        <v>2</v>
      </c>
      <c r="D2" s="24" t="s">
        <v>222</v>
      </c>
    </row>
    <row r="3" spans="1:4" ht="40.200000000000003" customHeight="1" x14ac:dyDescent="0.6">
      <c r="A3" s="20"/>
      <c r="B3" s="41" t="s">
        <v>223</v>
      </c>
      <c r="C3" s="42" t="s">
        <v>262</v>
      </c>
      <c r="D3" s="19" t="s">
        <v>224</v>
      </c>
    </row>
    <row r="4" spans="1:4" ht="36" customHeight="1" x14ac:dyDescent="0.6">
      <c r="A4" s="20"/>
      <c r="B4" s="41" t="s">
        <v>225</v>
      </c>
      <c r="C4" s="42" t="s">
        <v>263</v>
      </c>
      <c r="D4" s="19" t="s">
        <v>224</v>
      </c>
    </row>
    <row r="5" spans="1:4" ht="24" customHeight="1" x14ac:dyDescent="0.6">
      <c r="A5" s="20"/>
      <c r="B5" s="43" t="s">
        <v>226</v>
      </c>
      <c r="C5" s="42">
        <f>78+69</f>
        <v>147</v>
      </c>
      <c r="D5" s="19" t="s">
        <v>224</v>
      </c>
    </row>
    <row r="6" spans="1:4" ht="25.2" customHeight="1" x14ac:dyDescent="0.6">
      <c r="A6" s="20"/>
      <c r="B6" s="44" t="s">
        <v>227</v>
      </c>
      <c r="C6" s="42">
        <f>145+1+63</f>
        <v>209</v>
      </c>
      <c r="D6" s="19" t="s">
        <v>224</v>
      </c>
    </row>
    <row r="7" spans="1:4" ht="18.600000000000001" customHeight="1" x14ac:dyDescent="0.6">
      <c r="A7" s="20"/>
      <c r="B7" s="41" t="s">
        <v>228</v>
      </c>
      <c r="C7" s="42" t="s">
        <v>264</v>
      </c>
      <c r="D7" s="19" t="s">
        <v>224</v>
      </c>
    </row>
    <row r="8" spans="1:4" ht="22.8" customHeight="1" x14ac:dyDescent="0.6">
      <c r="A8" s="20"/>
      <c r="B8" s="41" t="s">
        <v>229</v>
      </c>
      <c r="C8" s="42" t="s">
        <v>265</v>
      </c>
      <c r="D8" s="19" t="s">
        <v>224</v>
      </c>
    </row>
    <row r="9" spans="1:4" ht="24" customHeight="1" x14ac:dyDescent="0.6">
      <c r="A9" s="20"/>
      <c r="B9" s="41" t="s">
        <v>230</v>
      </c>
      <c r="C9" s="42">
        <v>0</v>
      </c>
      <c r="D9" s="19" t="s">
        <v>224</v>
      </c>
    </row>
    <row r="10" spans="1:4" ht="22.2" customHeight="1" x14ac:dyDescent="0.6">
      <c r="A10" s="20"/>
      <c r="B10" s="41" t="s">
        <v>231</v>
      </c>
      <c r="C10" s="42">
        <v>88</v>
      </c>
      <c r="D10" s="19" t="s">
        <v>224</v>
      </c>
    </row>
    <row r="11" spans="1:4" ht="27.6" customHeight="1" x14ac:dyDescent="0.6">
      <c r="A11" s="20"/>
      <c r="B11" s="41" t="s">
        <v>266</v>
      </c>
      <c r="C11" s="42" t="s">
        <v>267</v>
      </c>
      <c r="D11" s="19" t="s">
        <v>93</v>
      </c>
    </row>
    <row r="12" spans="1:4" ht="23.4" customHeight="1" x14ac:dyDescent="0.6">
      <c r="A12" s="20"/>
      <c r="B12" s="41" t="s">
        <v>232</v>
      </c>
      <c r="C12" s="42" t="s">
        <v>268</v>
      </c>
      <c r="D12" s="19" t="s">
        <v>224</v>
      </c>
    </row>
    <row r="13" spans="1:4" ht="25.2" customHeight="1" x14ac:dyDescent="0.6">
      <c r="A13" s="20"/>
      <c r="B13" s="41" t="s">
        <v>233</v>
      </c>
      <c r="C13" s="45">
        <f>3+8+7</f>
        <v>18</v>
      </c>
      <c r="D13" s="19" t="s">
        <v>224</v>
      </c>
    </row>
    <row r="14" spans="1:4" ht="23.4" customHeight="1" x14ac:dyDescent="0.6">
      <c r="A14" s="20"/>
      <c r="B14" s="41" t="s">
        <v>234</v>
      </c>
      <c r="C14" s="45">
        <v>7</v>
      </c>
      <c r="D14" s="19" t="s">
        <v>224</v>
      </c>
    </row>
    <row r="15" spans="1:4" ht="22.8" customHeight="1" x14ac:dyDescent="0.6">
      <c r="A15" s="20"/>
      <c r="B15" s="41" t="s">
        <v>235</v>
      </c>
      <c r="C15" s="45">
        <v>30</v>
      </c>
      <c r="D15" s="19" t="s">
        <v>236</v>
      </c>
    </row>
    <row r="16" spans="1:4" ht="28.2" customHeight="1" x14ac:dyDescent="0.6">
      <c r="A16" s="20"/>
      <c r="B16" s="41" t="s">
        <v>237</v>
      </c>
      <c r="C16" s="45" t="s">
        <v>269</v>
      </c>
      <c r="D16" s="19" t="s">
        <v>224</v>
      </c>
    </row>
    <row r="17" spans="1:4" ht="25.8" customHeight="1" x14ac:dyDescent="0.6">
      <c r="A17" s="20"/>
      <c r="B17" s="41" t="s">
        <v>238</v>
      </c>
      <c r="C17" s="45">
        <v>10</v>
      </c>
      <c r="D17" s="19" t="s">
        <v>224</v>
      </c>
    </row>
    <row r="18" spans="1:4" ht="22.8" customHeight="1" x14ac:dyDescent="0.6">
      <c r="A18" s="20"/>
      <c r="B18" s="41" t="s">
        <v>239</v>
      </c>
      <c r="C18" s="45" t="s">
        <v>270</v>
      </c>
      <c r="D18" s="19" t="s">
        <v>224</v>
      </c>
    </row>
    <row r="19" spans="1:4" ht="24" customHeight="1" x14ac:dyDescent="0.6">
      <c r="A19" s="20"/>
      <c r="B19" s="41" t="s">
        <v>240</v>
      </c>
      <c r="C19" s="45" t="s">
        <v>271</v>
      </c>
      <c r="D19" s="19" t="s">
        <v>224</v>
      </c>
    </row>
    <row r="20" spans="1:4" ht="25.8" customHeight="1" x14ac:dyDescent="0.6">
      <c r="A20" s="20"/>
      <c r="B20" s="44" t="s">
        <v>241</v>
      </c>
      <c r="C20" s="45" t="s">
        <v>273</v>
      </c>
      <c r="D20" s="19" t="s">
        <v>224</v>
      </c>
    </row>
    <row r="21" spans="1:4" ht="24" customHeight="1" x14ac:dyDescent="0.6">
      <c r="A21" s="20"/>
      <c r="B21" s="41" t="s">
        <v>242</v>
      </c>
      <c r="C21" s="42">
        <v>10</v>
      </c>
      <c r="D21" s="19" t="s">
        <v>224</v>
      </c>
    </row>
    <row r="22" spans="1:4" ht="24" customHeight="1" x14ac:dyDescent="0.6">
      <c r="A22" s="20"/>
      <c r="B22" s="41" t="s">
        <v>243</v>
      </c>
      <c r="C22" s="45" t="s">
        <v>270</v>
      </c>
      <c r="D22" s="19" t="s">
        <v>224</v>
      </c>
    </row>
    <row r="23" spans="1:4" ht="23.4" customHeight="1" x14ac:dyDescent="0.6">
      <c r="A23" s="20"/>
      <c r="B23" s="41" t="s">
        <v>244</v>
      </c>
      <c r="C23" s="45">
        <v>8</v>
      </c>
      <c r="D23" s="19" t="s">
        <v>224</v>
      </c>
    </row>
    <row r="24" spans="1:4" ht="19.8" customHeight="1" x14ac:dyDescent="0.6">
      <c r="A24" s="20"/>
      <c r="B24" s="41" t="s">
        <v>245</v>
      </c>
      <c r="C24" s="45">
        <v>3</v>
      </c>
      <c r="D24" s="19" t="s">
        <v>224</v>
      </c>
    </row>
    <row r="25" spans="1:4" ht="21.6" customHeight="1" x14ac:dyDescent="0.6">
      <c r="A25" s="20"/>
      <c r="B25" s="41" t="s">
        <v>246</v>
      </c>
      <c r="C25" s="45">
        <v>6</v>
      </c>
      <c r="D25" s="19" t="s">
        <v>224</v>
      </c>
    </row>
    <row r="26" spans="1:4" ht="22.2" customHeight="1" x14ac:dyDescent="0.6">
      <c r="A26" s="20"/>
      <c r="B26" s="41" t="s">
        <v>247</v>
      </c>
      <c r="C26" s="45" t="s">
        <v>272</v>
      </c>
      <c r="D26" s="19" t="s">
        <v>224</v>
      </c>
    </row>
    <row r="27" spans="1:4" ht="25.8" customHeight="1" x14ac:dyDescent="0.6">
      <c r="A27" s="20"/>
      <c r="B27" s="41" t="s">
        <v>248</v>
      </c>
      <c r="C27" s="45">
        <v>5</v>
      </c>
      <c r="D27" s="19" t="s">
        <v>224</v>
      </c>
    </row>
    <row r="28" spans="1:4" ht="26.4" customHeight="1" x14ac:dyDescent="0.6">
      <c r="A28" s="20"/>
      <c r="B28" s="41" t="s">
        <v>249</v>
      </c>
      <c r="C28" s="45">
        <f>0.84+7.92+1.13+11</f>
        <v>20.89</v>
      </c>
      <c r="D28" s="19" t="s">
        <v>224</v>
      </c>
    </row>
    <row r="29" spans="1:4" ht="25.2" customHeight="1" x14ac:dyDescent="0.6">
      <c r="A29" s="20"/>
      <c r="B29" s="41" t="s">
        <v>250</v>
      </c>
      <c r="C29" s="45" t="s">
        <v>274</v>
      </c>
      <c r="D29" s="19" t="s">
        <v>224</v>
      </c>
    </row>
    <row r="30" spans="1:4" ht="25.2" customHeight="1" x14ac:dyDescent="0.6">
      <c r="A30" s="20"/>
      <c r="B30" s="41" t="s">
        <v>251</v>
      </c>
      <c r="C30" s="45">
        <v>6</v>
      </c>
      <c r="D30" s="19" t="s">
        <v>224</v>
      </c>
    </row>
    <row r="31" spans="1:4" ht="30.6" customHeight="1" x14ac:dyDescent="0.6">
      <c r="A31" s="20"/>
      <c r="B31" s="41" t="s">
        <v>252</v>
      </c>
      <c r="C31" s="45" t="s">
        <v>275</v>
      </c>
      <c r="D31" s="19" t="s">
        <v>224</v>
      </c>
    </row>
    <row r="32" spans="1:4" ht="25.8" customHeight="1" x14ac:dyDescent="0.6">
      <c r="A32" s="20"/>
      <c r="B32" s="41" t="s">
        <v>253</v>
      </c>
      <c r="C32" s="45" t="s">
        <v>276</v>
      </c>
      <c r="D32" s="19" t="s">
        <v>224</v>
      </c>
    </row>
    <row r="33" spans="1:4" ht="22.8" customHeight="1" x14ac:dyDescent="0.6">
      <c r="A33" s="20"/>
      <c r="B33" s="41" t="s">
        <v>254</v>
      </c>
      <c r="C33" s="41" t="s">
        <v>277</v>
      </c>
      <c r="D33" s="19" t="s">
        <v>278</v>
      </c>
    </row>
    <row r="34" spans="1:4" ht="23.4" customHeight="1" x14ac:dyDescent="0.6">
      <c r="A34" s="20"/>
      <c r="B34" s="41" t="s">
        <v>255</v>
      </c>
      <c r="C34" s="41" t="s">
        <v>279</v>
      </c>
      <c r="D34" s="19" t="s">
        <v>224</v>
      </c>
    </row>
    <row r="35" spans="1:4" ht="22.8" customHeight="1" x14ac:dyDescent="0.6">
      <c r="A35" s="20"/>
      <c r="B35" s="41" t="s">
        <v>256</v>
      </c>
      <c r="C35" s="41" t="s">
        <v>280</v>
      </c>
      <c r="D35" s="19" t="s">
        <v>224</v>
      </c>
    </row>
    <row r="36" spans="1:4" ht="27.6" customHeight="1" x14ac:dyDescent="0.6">
      <c r="A36" s="20"/>
      <c r="B36" s="41" t="s">
        <v>257</v>
      </c>
      <c r="C36" s="41" t="s">
        <v>272</v>
      </c>
      <c r="D36" s="19" t="s">
        <v>224</v>
      </c>
    </row>
    <row r="37" spans="1:4" ht="24.6" customHeight="1" x14ac:dyDescent="0.6">
      <c r="A37" s="20"/>
      <c r="B37" s="41" t="s">
        <v>258</v>
      </c>
      <c r="C37" s="41" t="s">
        <v>281</v>
      </c>
      <c r="D37" s="19" t="s">
        <v>175</v>
      </c>
    </row>
    <row r="38" spans="1:4" ht="24.6" customHeight="1" x14ac:dyDescent="0.6">
      <c r="A38" s="20"/>
      <c r="B38" s="41" t="s">
        <v>259</v>
      </c>
      <c r="C38" s="41">
        <v>866</v>
      </c>
      <c r="D38" s="19" t="s">
        <v>175</v>
      </c>
    </row>
    <row r="39" spans="1:4" ht="27" customHeight="1" x14ac:dyDescent="0.6">
      <c r="A39" s="20"/>
      <c r="B39" s="41" t="s">
        <v>260</v>
      </c>
      <c r="C39" s="45" t="s">
        <v>276</v>
      </c>
      <c r="D39" s="19" t="s">
        <v>236</v>
      </c>
    </row>
    <row r="40" spans="1:4" s="9" customFormat="1" ht="25.2" customHeight="1" x14ac:dyDescent="0.6">
      <c r="A40" s="46"/>
      <c r="B40" s="47" t="s">
        <v>283</v>
      </c>
      <c r="C40" s="48" t="s">
        <v>284</v>
      </c>
      <c r="D40" s="49" t="s">
        <v>224</v>
      </c>
    </row>
    <row r="41" spans="1:4" ht="24" customHeight="1" x14ac:dyDescent="0.6">
      <c r="A41" s="20"/>
      <c r="B41" s="41" t="s">
        <v>261</v>
      </c>
      <c r="C41" s="45" t="s">
        <v>282</v>
      </c>
      <c r="D41" s="19" t="s">
        <v>224</v>
      </c>
    </row>
    <row r="42" spans="1:4" ht="25.8" customHeight="1" x14ac:dyDescent="0.6">
      <c r="A42" s="19"/>
      <c r="B42" s="50" t="s">
        <v>285</v>
      </c>
      <c r="C42" s="51" t="s">
        <v>286</v>
      </c>
      <c r="D42" s="52" t="s">
        <v>224</v>
      </c>
    </row>
    <row r="43" spans="1:4" ht="28.8" customHeight="1" x14ac:dyDescent="0.6">
      <c r="A43" s="19"/>
      <c r="B43" s="50" t="s">
        <v>287</v>
      </c>
      <c r="C43" s="51" t="s">
        <v>288</v>
      </c>
      <c r="D43" s="52" t="s">
        <v>224</v>
      </c>
    </row>
    <row r="44" spans="1:4" ht="24.6" customHeight="1" x14ac:dyDescent="0.6">
      <c r="A44" s="19"/>
      <c r="B44" s="50" t="s">
        <v>289</v>
      </c>
      <c r="C44" s="51" t="s">
        <v>290</v>
      </c>
      <c r="D44" s="52" t="s">
        <v>224</v>
      </c>
    </row>
    <row r="45" spans="1:4" ht="23.4" customHeight="1" x14ac:dyDescent="0.6">
      <c r="A45" s="19"/>
      <c r="B45" s="50" t="s">
        <v>291</v>
      </c>
      <c r="C45" s="51" t="s">
        <v>292</v>
      </c>
      <c r="D45" s="19" t="s">
        <v>293</v>
      </c>
    </row>
    <row r="46" spans="1:4" ht="27" customHeight="1" x14ac:dyDescent="0.6">
      <c r="A46" s="19"/>
      <c r="B46" s="50" t="s">
        <v>294</v>
      </c>
      <c r="C46" s="51" t="s">
        <v>113</v>
      </c>
      <c r="D46" s="19" t="s">
        <v>293</v>
      </c>
    </row>
    <row r="47" spans="1:4" ht="25.8" customHeight="1" x14ac:dyDescent="0.6">
      <c r="A47" s="19"/>
      <c r="B47" s="50" t="s">
        <v>295</v>
      </c>
      <c r="C47" s="50" t="s">
        <v>296</v>
      </c>
      <c r="D47" s="19" t="s">
        <v>160</v>
      </c>
    </row>
    <row r="48" spans="1:4" ht="25.2" customHeight="1" x14ac:dyDescent="0.6">
      <c r="A48" s="19"/>
      <c r="B48" s="50" t="s">
        <v>297</v>
      </c>
      <c r="C48" s="45">
        <f>1352+792</f>
        <v>2144</v>
      </c>
      <c r="D48" s="19" t="s">
        <v>160</v>
      </c>
    </row>
    <row r="49" spans="1:4" ht="22.8" customHeight="1" x14ac:dyDescent="0.6">
      <c r="A49" s="19"/>
      <c r="B49" s="50" t="s">
        <v>298</v>
      </c>
      <c r="C49" s="50" t="s">
        <v>299</v>
      </c>
      <c r="D49" s="19"/>
    </row>
    <row r="50" spans="1:4" ht="31.2" customHeight="1" x14ac:dyDescent="0.6">
      <c r="A50" s="19"/>
      <c r="B50" s="50" t="s">
        <v>300</v>
      </c>
      <c r="C50" s="50" t="s">
        <v>265</v>
      </c>
      <c r="D50" s="19" t="s">
        <v>236</v>
      </c>
    </row>
    <row r="51" spans="1:4" ht="29.4" customHeight="1" x14ac:dyDescent="0.6">
      <c r="A51" s="19"/>
      <c r="B51" s="50" t="s">
        <v>301</v>
      </c>
      <c r="C51" s="50" t="s">
        <v>302</v>
      </c>
      <c r="D51" s="19" t="s">
        <v>172</v>
      </c>
    </row>
    <row r="52" spans="1:4" ht="27.6" customHeight="1" x14ac:dyDescent="0.6">
      <c r="A52" s="19"/>
      <c r="B52" s="50" t="s">
        <v>303</v>
      </c>
      <c r="C52" s="41">
        <f>54+103+100</f>
        <v>257</v>
      </c>
      <c r="D52" s="19" t="s">
        <v>172</v>
      </c>
    </row>
    <row r="53" spans="1:4" ht="27.6" customHeight="1" x14ac:dyDescent="0.6">
      <c r="A53" s="19"/>
      <c r="B53" s="50" t="s">
        <v>304</v>
      </c>
      <c r="C53" s="50" t="s">
        <v>305</v>
      </c>
      <c r="D53" s="19" t="s">
        <v>172</v>
      </c>
    </row>
    <row r="54" spans="1:4" ht="24" customHeight="1" x14ac:dyDescent="0.6">
      <c r="A54" s="19"/>
      <c r="B54" s="50" t="s">
        <v>306</v>
      </c>
      <c r="C54" s="50" t="s">
        <v>307</v>
      </c>
      <c r="D54" s="19" t="s">
        <v>236</v>
      </c>
    </row>
    <row r="55" spans="1:4" ht="31.2" customHeight="1" x14ac:dyDescent="0.6">
      <c r="A55" s="19"/>
      <c r="B55" s="50" t="s">
        <v>308</v>
      </c>
      <c r="C55" s="41">
        <v>265</v>
      </c>
      <c r="D55" s="19" t="s">
        <v>236</v>
      </c>
    </row>
    <row r="56" spans="1:4" ht="22.2" customHeight="1" x14ac:dyDescent="0.6">
      <c r="A56" s="19"/>
      <c r="B56" s="50" t="s">
        <v>309</v>
      </c>
      <c r="C56" s="41">
        <f>203+429</f>
        <v>632</v>
      </c>
      <c r="D56" s="19" t="s">
        <v>236</v>
      </c>
    </row>
    <row r="57" spans="1:4" ht="27.6" customHeight="1" x14ac:dyDescent="0.6">
      <c r="A57" s="19"/>
      <c r="B57" s="50" t="s">
        <v>310</v>
      </c>
      <c r="C57" s="41" t="s">
        <v>311</v>
      </c>
      <c r="D57" s="19" t="s">
        <v>236</v>
      </c>
    </row>
    <row r="58" spans="1:4" ht="29.4" customHeight="1" x14ac:dyDescent="0.6">
      <c r="A58" s="19"/>
      <c r="B58" s="50" t="s">
        <v>312</v>
      </c>
      <c r="C58" s="41" t="s">
        <v>313</v>
      </c>
      <c r="D58" s="19"/>
    </row>
    <row r="59" spans="1:4" ht="24" customHeight="1" x14ac:dyDescent="0.6">
      <c r="A59" s="19"/>
      <c r="B59" s="50" t="s">
        <v>314</v>
      </c>
      <c r="C59" s="41" t="s">
        <v>315</v>
      </c>
      <c r="D59" s="19"/>
    </row>
    <row r="60" spans="1:4" ht="21" customHeight="1" x14ac:dyDescent="0.6">
      <c r="A60" s="19"/>
      <c r="B60" s="50" t="s">
        <v>316</v>
      </c>
      <c r="C60" s="41" t="s">
        <v>265</v>
      </c>
      <c r="D60" s="19"/>
    </row>
    <row r="61" spans="1:4" ht="27" customHeight="1" x14ac:dyDescent="0.6">
      <c r="A61" s="19"/>
      <c r="B61" s="50" t="s">
        <v>317</v>
      </c>
      <c r="C61" s="41" t="s">
        <v>318</v>
      </c>
      <c r="D61" s="19"/>
    </row>
    <row r="62" spans="1:4" ht="22.2" customHeight="1" x14ac:dyDescent="0.6">
      <c r="A62" s="19"/>
      <c r="B62" s="50" t="s">
        <v>319</v>
      </c>
      <c r="C62" s="41" t="s">
        <v>305</v>
      </c>
      <c r="D62" s="19"/>
    </row>
    <row r="63" spans="1:4" ht="26.4" customHeight="1" x14ac:dyDescent="0.6">
      <c r="A63" s="19"/>
      <c r="B63" s="50" t="s">
        <v>320</v>
      </c>
      <c r="C63" s="41" t="s">
        <v>305</v>
      </c>
      <c r="D63" s="19"/>
    </row>
    <row r="64" spans="1:4" ht="26.4" customHeight="1" x14ac:dyDescent="0.6">
      <c r="A64" s="19"/>
      <c r="B64" s="50" t="s">
        <v>321</v>
      </c>
      <c r="C64" s="41" t="s">
        <v>315</v>
      </c>
      <c r="D64" s="19" t="s">
        <v>6</v>
      </c>
    </row>
    <row r="65" spans="1:4" ht="21.6" customHeight="1" x14ac:dyDescent="0.6">
      <c r="A65" s="19"/>
      <c r="B65" s="50" t="s">
        <v>322</v>
      </c>
      <c r="C65" s="41">
        <v>258</v>
      </c>
      <c r="D65" s="19"/>
    </row>
    <row r="66" spans="1:4" ht="27" customHeight="1" x14ac:dyDescent="0.6">
      <c r="A66" s="19"/>
      <c r="B66" s="50" t="s">
        <v>323</v>
      </c>
      <c r="C66" s="41">
        <f>79-14</f>
        <v>65</v>
      </c>
      <c r="D66" s="19"/>
    </row>
    <row r="67" spans="1:4" ht="30" customHeight="1" x14ac:dyDescent="0.6">
      <c r="A67" s="19"/>
      <c r="B67" s="50" t="s">
        <v>323</v>
      </c>
      <c r="C67" s="41">
        <f>132-25</f>
        <v>107</v>
      </c>
      <c r="D67" s="19"/>
    </row>
    <row r="68" spans="1:4" ht="24.6" customHeight="1" x14ac:dyDescent="0.6">
      <c r="A68" s="19"/>
      <c r="B68" s="50" t="s">
        <v>324</v>
      </c>
      <c r="C68" s="41" t="s">
        <v>325</v>
      </c>
      <c r="D68" s="19" t="s">
        <v>172</v>
      </c>
    </row>
    <row r="69" spans="1:4" ht="31.8" customHeight="1" x14ac:dyDescent="0.6">
      <c r="A69" s="19"/>
      <c r="B69" s="50" t="s">
        <v>326</v>
      </c>
      <c r="C69" s="41" t="s">
        <v>327</v>
      </c>
      <c r="D69" s="19" t="s">
        <v>236</v>
      </c>
    </row>
    <row r="70" spans="1:4" ht="31.8" customHeight="1" x14ac:dyDescent="0.6">
      <c r="A70" s="19"/>
      <c r="B70" s="50" t="s">
        <v>328</v>
      </c>
      <c r="C70" s="41" t="s">
        <v>263</v>
      </c>
      <c r="D70" s="19" t="s">
        <v>236</v>
      </c>
    </row>
    <row r="71" spans="1:4" ht="45.6" customHeight="1" x14ac:dyDescent="0.6">
      <c r="A71" s="19"/>
      <c r="B71" s="50" t="s">
        <v>329</v>
      </c>
      <c r="C71" s="41">
        <v>90</v>
      </c>
      <c r="D71" s="19" t="s">
        <v>172</v>
      </c>
    </row>
    <row r="72" spans="1:4" ht="41.4" customHeight="1" x14ac:dyDescent="0.6">
      <c r="A72" s="19"/>
      <c r="B72" s="50" t="s">
        <v>330</v>
      </c>
      <c r="C72" s="41">
        <v>352</v>
      </c>
      <c r="D72" s="19" t="s">
        <v>331</v>
      </c>
    </row>
    <row r="73" spans="1:4" ht="37.200000000000003" customHeight="1" x14ac:dyDescent="0.6">
      <c r="A73" s="19"/>
      <c r="B73" s="50" t="s">
        <v>332</v>
      </c>
      <c r="C73" s="41" t="s">
        <v>333</v>
      </c>
      <c r="D73" s="19" t="s">
        <v>334</v>
      </c>
    </row>
    <row r="74" spans="1:4" ht="28.2" customHeight="1" x14ac:dyDescent="0.6">
      <c r="A74" s="19"/>
      <c r="B74" s="50" t="s">
        <v>335</v>
      </c>
      <c r="C74" s="41">
        <v>20</v>
      </c>
      <c r="D74" s="19" t="s">
        <v>236</v>
      </c>
    </row>
    <row r="75" spans="1:4" ht="34.799999999999997" customHeight="1" x14ac:dyDescent="0.6">
      <c r="A75" s="19"/>
      <c r="B75" s="50" t="s">
        <v>336</v>
      </c>
      <c r="C75" s="41">
        <v>392</v>
      </c>
      <c r="D75" s="19" t="s">
        <v>172</v>
      </c>
    </row>
    <row r="76" spans="1:4" ht="42" customHeight="1" x14ac:dyDescent="0.6">
      <c r="A76" s="19"/>
      <c r="B76" s="50" t="s">
        <v>337</v>
      </c>
      <c r="C76" s="41">
        <v>124</v>
      </c>
      <c r="D76" s="19"/>
    </row>
    <row r="77" spans="1:4" ht="40.200000000000003" customHeight="1" x14ac:dyDescent="0.6">
      <c r="A77" s="19"/>
      <c r="B77" s="50" t="s">
        <v>338</v>
      </c>
      <c r="C77" s="41">
        <f>602+250</f>
        <v>852</v>
      </c>
      <c r="D77" s="19" t="s">
        <v>6</v>
      </c>
    </row>
    <row r="78" spans="1:4" ht="44.4" customHeight="1" x14ac:dyDescent="0.6">
      <c r="A78" s="19"/>
      <c r="B78" s="50" t="s">
        <v>339</v>
      </c>
      <c r="C78" s="41">
        <f>878+110-2.05</f>
        <v>985.95</v>
      </c>
      <c r="D78" s="19"/>
    </row>
    <row r="79" spans="1:4" ht="27.6" customHeight="1" x14ac:dyDescent="0.6">
      <c r="A79" s="19"/>
      <c r="B79" s="53" t="s">
        <v>351</v>
      </c>
      <c r="C79" s="41" t="s">
        <v>341</v>
      </c>
      <c r="D79" s="19"/>
    </row>
    <row r="80" spans="1:4" ht="28.8" x14ac:dyDescent="0.55000000000000004">
      <c r="A80" s="38"/>
      <c r="B80" s="38"/>
      <c r="C80" s="38"/>
      <c r="D80" s="38"/>
    </row>
  </sheetData>
  <mergeCells count="1">
    <mergeCell ref="A1:C1"/>
  </mergeCells>
  <pageMargins left="0.7" right="0.7" top="0.75" bottom="0.75" header="0.3" footer="0.3"/>
  <pageSetup paperSize="9" scale="31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9</vt:i4>
      </vt:variant>
      <vt:variant>
        <vt:lpstr>Adlandırılmış Aralıklar</vt:lpstr>
      </vt:variant>
      <vt:variant>
        <vt:i4>2</vt:i4>
      </vt:variant>
    </vt:vector>
  </HeadingPairs>
  <TitlesOfParts>
    <vt:vector size="11" baseType="lpstr">
      <vt:lpstr>Sayfa1</vt:lpstr>
      <vt:lpstr>Sayfa2</vt:lpstr>
      <vt:lpstr>Sayfa3</vt:lpstr>
      <vt:lpstr>Sayfa4</vt:lpstr>
      <vt:lpstr>Sayfa5</vt:lpstr>
      <vt:lpstr>Sayfa6</vt:lpstr>
      <vt:lpstr>Sayfa8</vt:lpstr>
      <vt:lpstr>Sayfa9</vt:lpstr>
      <vt:lpstr>Sayfa11</vt:lpstr>
      <vt:lpstr>Sayfa5!Yazdırma_Alanı</vt:lpstr>
      <vt:lpstr>Sayfa6!Yazdırma_Alanı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2026-04-01T07:17:19Z</cp:lastPrinted>
  <dcterms:created xsi:type="dcterms:W3CDTF">2026-01-30T10:20:10Z</dcterms:created>
  <dcterms:modified xsi:type="dcterms:W3CDTF">2026-04-01T08:02:35Z</dcterms:modified>
</cp:coreProperties>
</file>